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admin\Documents\pythonシステム開発\media画像\"/>
    </mc:Choice>
  </mc:AlternateContent>
  <xr:revisionPtr revIDLastSave="0" documentId="13_ncr:9_{268CBD46-E57C-4792-9954-34C7B16F0708}" xr6:coauthVersionLast="47" xr6:coauthVersionMax="47" xr10:uidLastSave="{00000000-0000-0000-0000-000000000000}"/>
  <bookViews>
    <workbookView xWindow="-110" yWindow="-110" windowWidth="19420" windowHeight="10300" xr2:uid="{2EE9A052-7BBD-4864-8E9D-59CFB3B2B818}"/>
  </bookViews>
  <sheets>
    <sheet name="product" sheetId="1" r:id="rId1"/>
    <sheet name="Sheet1" sheetId="2" r:id="rId2"/>
  </sheets>
  <definedNames>
    <definedName name="_xlnm._FilterDatabase" localSheetId="0" hidden="1">product!$A$1:$H$101</definedName>
  </definedNames>
  <calcPr calcId="0"/>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2" i="1"/>
</calcChain>
</file>

<file path=xl/sharedStrings.xml><?xml version="1.0" encoding="utf-8"?>
<sst xmlns="http://schemas.openxmlformats.org/spreadsheetml/2006/main" count="517" uniqueCount="416">
  <si>
    <t>model</t>
  </si>
  <si>
    <t>pk</t>
  </si>
  <si>
    <t>name</t>
  </si>
  <si>
    <t>describe</t>
  </si>
  <si>
    <t>image</t>
  </si>
  <si>
    <t>price</t>
  </si>
  <si>
    <t>category</t>
  </si>
  <si>
    <t>main.product</t>
  </si>
  <si>
    <t>快適なシルク100%シャツ</t>
  </si>
  <si>
    <t>このシルクシャツは快適な着心地で、通気性に優れています。シルク100%素材で、肌触りも抜群です。お洒落なデザインで、ビジネスシーンにもピッタリです。</t>
  </si>
  <si>
    <t>product_image/4800000000001.jpg</t>
  </si>
  <si>
    <t>ハイドレーティングクリーム</t>
  </si>
  <si>
    <t>潤いを与えながら肌を保護するクリームです。保湿効果が長時間持続し、乾燥から肌を守ります。肌に優しい成分で作られており、敏感肌の方にもおすすめです。</t>
  </si>
  <si>
    <t>product_image/4800000000002.jpg</t>
  </si>
  <si>
    <t>ベストセラー小説「影の狩人」</t>
  </si>
  <si>
    <t>壮大なファンタジー世界を舞台にした冒険物語です。主人公の成長と友情を描いた感動的なストーリーが魅力です。読み終わった後も心に残る作品です。</t>
  </si>
  <si>
    <t>product_image/4800000000003.jpg</t>
  </si>
  <si>
    <t>プロテインシェイカー500ml</t>
  </si>
  <si>
    <t>トレーニング後の栄養補給に最適なプロテインシェイカーです。しっかりとした作りで、漏れる心配がありません。500mlの大容量で、スポーツマンに必須のアイテムです。</t>
  </si>
  <si>
    <t>product_image/4800000000004.jpg</t>
  </si>
  <si>
    <t>ペット用おもちゃセット</t>
  </si>
  <si>
    <t>猫や犬に最適なおもちゃのセットです。噛みやすくて丈夫な素材で作られており、ペットの興味を引きます。安全な素材を使用しているので安心してお使いいただけます。</t>
  </si>
  <si>
    <t>product_image/4800000000005.jpg</t>
  </si>
  <si>
    <t>車用ワイパーブレード交換セット</t>
  </si>
  <si>
    <t>雨天時の視界確保に必須のワイパーブレード交換セットです。簡単に取り付けられ、効率的に水を拭き取ります。安全運転のために定期的な交換をおすすめします。</t>
  </si>
  <si>
    <t>product_image/4800000000006.jpg</t>
  </si>
  <si>
    <t>北欧デザインの木製テーブル</t>
  </si>
  <si>
    <t>シンプルで洗練された北欧デザインの木製テーブルです。ナチュラルな風合いがお部屋に温かみを与えます。耐久性があり、長くご愛用いただける家具です。</t>
  </si>
  <si>
    <t>product_image/4800000000007.jpg</t>
  </si>
  <si>
    <t>子供用アートセット36色</t>
  </si>
  <si>
    <t>子供の創造性を引き出す36色のアートセットです。安全で非毒性の素材を使用しており、子供が安心して楽しめるデザインです。絵画や手作り工作に最適です。</t>
  </si>
  <si>
    <t>product_image/4800000000008.jpg</t>
  </si>
  <si>
    <t>特製抹茶クッキー12個入り</t>
  </si>
  <si>
    <t>抹茶の風味豊かなクッキーです。上質な抹茶を使用し、ほろ苦さと甘さのバランスが絶妙です。ティータイムやお土産に最適なお菓子です。</t>
  </si>
  <si>
    <t>product_image/4800000000009.jpg</t>
  </si>
  <si>
    <t>多機能キッチンスケール</t>
  </si>
  <si>
    <t>料理やお菓子作りに便利な多機能キッチンスケールです。精度が高く、小さな単位まで計測できます。コンパクトなデザインで収納にも便利です。</t>
  </si>
  <si>
    <t>product_image/4800000000010.jpg</t>
  </si>
  <si>
    <t>デニム素材のショートパンツ</t>
  </si>
  <si>
    <t>カジュアルなデニム素材のショートパンツです。快適な履き心地で、夏のお出かけにぴったりです。男女問わず幅広い年齢層に人気のアイテムです。</t>
  </si>
  <si>
    <t>product_image/4800000000011.jpg</t>
  </si>
  <si>
    <t>美白効果のある美容液</t>
  </si>
  <si>
    <t>しっかりとした美白効果を実感できる美容液です。肌のくすみを改善し、透明感のある肌へ導きます。美容成分をたっぷり含んでおり、乾燥からも守ります。</t>
  </si>
  <si>
    <t>product_image/4800000000012.jpg</t>
  </si>
  <si>
    <t>人気シリーズ「星の勇者」完結巻</t>
  </si>
  <si>
    <t>感動の完結を迎える「星の勇者」シリーズの最終巻です。主人公の成長と最後の戦いを描いたエピックな物語です。ファン必見の一冊です。</t>
  </si>
  <si>
    <t>product_image/4800000000013.jpg</t>
  </si>
  <si>
    <t>屋外向けジョギングシューズ</t>
  </si>
  <si>
    <t>屋外でのランニングに最適なジョギングシューズです。グリップ力が高く、安定した走行が可能です。快適なフィット感で、長時間のランニングにも対応します。</t>
  </si>
  <si>
    <t>product_image/4800000000014.jpg</t>
  </si>
  <si>
    <t>猫用キャットタワー</t>
  </si>
  <si>
    <t>猫が楽しめるキャットタワーです。遊び心満載の設計で、猫のストレス解消に効果的です。頑丈で安全な構造で作られており、安心してお使いいただけます。</t>
  </si>
  <si>
    <t>product_image/4800000000015.jpg</t>
  </si>
  <si>
    <t>高性能エンジンオイル5W-30</t>
  </si>
  <si>
    <t>車のエンジン寿命を延ばす高性能なエンジンオイルです。低温時から高温時まで安定した潤滑性を保ちます。信頼性の高いブランドで、安全性にも配慮しています。</t>
  </si>
  <si>
    <t>product_image/4800000000016.jpg</t>
  </si>
  <si>
    <t>モダンデザインのダイニングテーブル</t>
  </si>
  <si>
    <t>モダンなデザインが魅力のダイニングテーブルです。広々とした天板で、家族みんなで楽しい食事の時間を過ごせます。高品質な素材で作られ、耐久性も抜群です。</t>
  </si>
  <si>
    <t>product_image/4800000000017.jpg</t>
  </si>
  <si>
    <t>子供用プレイマット120x180cm</t>
  </si>
  <si>
    <t>安全性を考慮した子供用プレイマットです。柔らかくて丈夫な素材で作られており、子供が安心して遊べます。デザインも可愛らしく、お部屋にも馴染みます。</t>
  </si>
  <si>
    <t>product_image/4800000000018.jpg</t>
  </si>
  <si>
    <t>極上生チョコレート12個入り</t>
  </si>
  <si>
    <t>口どけの良い生チョコレートです。贅沢な口当たりと濃厚な味わいが特徴です。高級感溢れるパッケージで、贈り物にも最適なお菓子です。</t>
  </si>
  <si>
    <t>product_image/4800000000019.jpg</t>
  </si>
  <si>
    <t>スマート体重計Bluetooth対応</t>
  </si>
  <si>
    <t>スマートフォンと連携して健康管理ができる体重計です。正確な体重測定だけでなく、体脂肪率や筋肉量などの測定も可能です。データ管理も簡単で便利です。</t>
  </si>
  <si>
    <t>product_image/4800000000020.jpg</t>
  </si>
  <si>
    <t>レザージャケットブラウン</t>
  </si>
  <si>
    <t>クラシックなブラウンカラーのレザージャケットです。スタイリッシュなデザインで、男性らしい雰囲気を演出します。高品質なレザー素材で長く愛用できるアイテムです。</t>
  </si>
  <si>
    <t>product_image/4800000000021.jpg</t>
  </si>
  <si>
    <t>美容液入り日焼け止めSPF50</t>
  </si>
  <si>
    <t>紫外線から肌を守りながら美容成分が肌をケアする日焼け止めです。SPF50で強力なUVカット効果を発揮し、透明感のある肌を保ちます。</t>
  </si>
  <si>
    <t>product_image/4800000000022.jpg</t>
  </si>
  <si>
    <t>心理学入門書「心の解剖学」</t>
  </si>
  <si>
    <t>心理学の基本から応用までを網羅した入門書です。わかりやすい解説と実例で、心の仕組みを理解するのに最適な一冊です。初心者から専門家まで幅広く楽しめます。</t>
  </si>
  <si>
    <t>product_image/4800000000023.jpg</t>
  </si>
  <si>
    <t>ランニングシューズ黒と白</t>
  </si>
  <si>
    <t>シンプルでスタイリッシュな黒と白のランニングシューズです。快適な履き心地で、ランニングをサポートします。さまざまなシーンで活躍する汎用性の高いデザインです。</t>
  </si>
  <si>
    <t>product_image/4800000000024.jpg</t>
  </si>
  <si>
    <t>猫用おもちゃボール3個セット</t>
  </si>
  <si>
    <t>猫が楽しめるおもちゃボールのセットです。転がって音がするので、猫の興味を引きます。安全で丈夫な素材を使用しており、安心して遊ばせることができます。</t>
  </si>
  <si>
    <t>product_image/4800000000025.jpg</t>
  </si>
  <si>
    <t>バイク用ヘルメット</t>
  </si>
  <si>
    <t>安全性を重視したバイク用ヘルメットです。頑丈で軽量な設計でありながら、優れた保護機能を提供します。快適な装着感で、長時間のツーリングにも最適です。</t>
  </si>
  <si>
    <t>product_image/4800000000026.jpg</t>
  </si>
  <si>
    <t>シンプルな無垢材ダイニングテーブル</t>
  </si>
  <si>
    <t>シンプルで使い勝手の良い無垢材のダイニングテーブルです。自然な木目が美しく、ナチュラルなインテリアにぴったりです。高品質な素材で、長く愛用できる家具です。</t>
  </si>
  <si>
    <t>product_image/4800000000027.jpg</t>
  </si>
  <si>
    <t>子供用おままごとセット</t>
  </si>
  <si>
    <t>子供が楽しめるおままごとセットです。安全な素材で作られており、子供が安心して遊べます。創造力を育むおもちゃで、子供の成長をサポートします。</t>
  </si>
  <si>
    <t>product_image/4800000000028.jpg</t>
  </si>
  <si>
    <t>抹茶とクッキーの絶妙なハーモニー</t>
  </si>
  <si>
    <t>抹茶とクッキーが絶妙にマッチしたお菓子です。ほろ苦い抹茶と甘さのバランスが絶妙で、贈り物にも喜ばれる一品です。お茶と一緒に楽しむのがおすすめです。</t>
  </si>
  <si>
    <t>product_image/4800000000029.jpg</t>
  </si>
  <si>
    <t>家庭用エアコンクリーナー</t>
  </si>
  <si>
    <t>家庭用エアコンの掃除に便利なクリーナーです。効率よくカビやホコリを取り除き、清潔な空気を実現します。使いやすいデザインで、お手入れが簡単です。</t>
  </si>
  <si>
    <t>product_image/4800000000030.jpg</t>
  </si>
  <si>
    <t>オーガニックコットンTシャツ</t>
  </si>
  <si>
    <t>肌触りの良いオーガニックコットン素材のTシャツです。ナチュラルで快適な着心地で、デイリーに活躍します。環境にも優しい素材で作られており、安心して着用できます。</t>
  </si>
  <si>
    <t>product_image/4800000000031.jpg</t>
  </si>
  <si>
    <t>保湿成分たっぷりのナイトクリーム</t>
  </si>
  <si>
    <t>夜間に集中的に保湿ケアができるナイトクリームです。肌をしっとりと保ちながら、乾燥から守ります。美容成分を豊富に含んでおり、朝の肌のツヤ感をサポートします。</t>
  </si>
  <si>
    <t>product_image/4800000000032.jpg</t>
  </si>
  <si>
    <t>ベストセラー心理ノンフィクション「深層心理学」</t>
  </si>
  <si>
    <t>深層心理学のエッセンスが凝縮されたベストセラーのノンフィクションです。心の奥底にある深層心理を探求し、理解を深める一冊です。</t>
  </si>
  <si>
    <t>product_image/4800000000033.jpg</t>
  </si>
  <si>
    <t>トレイルランニングシューズ</t>
  </si>
  <si>
    <t>トレイルランニングに特化したシューズです。グリップ力が高く、不安定な地面でも安定した走行が可能です。耐久性に優れ、アウトドアシーンでの活躍が期待できます。</t>
  </si>
  <si>
    <t>product_image/4800000000034.jpg</t>
  </si>
  <si>
    <t>猫用おしゃぶりおもちゃ</t>
  </si>
  <si>
    <t>猫が楽しめるおしゃぶり型のおもちゃです。触感が気持ちよく、猫の興味を引きます。安全な素材で作られており、猫のストレス発散にも役立ちます。</t>
  </si>
  <si>
    <t>product_image/4800000000035.jpg</t>
  </si>
  <si>
    <t>バイク用オイルフィルター交換キット</t>
  </si>
  <si>
    <t>バイクのメンテナンスに必要なオイルフィルター交換キットです。性能が高く、エンジンの寿命を延ばします。安全運転のために定期的な交換が推奨されます。</t>
  </si>
  <si>
    <t>product_image/4800000000036.jpg</t>
  </si>
  <si>
    <t>モダンデザインのソファ</t>
  </si>
  <si>
    <t>モダンで洗練されたデザインのソファです。座り心地が良く、リラックスできる設計です。高品質な素材を使用しており、長く快適にご利用いただけます。</t>
  </si>
  <si>
    <t>product_image/4800000000037.jpg</t>
  </si>
  <si>
    <t>子供用シールアートセット</t>
  </si>
  <si>
    <t>子供が楽しめるシールアートセットです。簡単に貼れるシールで、色々な絵が作れます。安全な素材で作られており、創造力を育むおもちゃです。</t>
  </si>
  <si>
    <t>product_image/4800000000038.jpg</t>
  </si>
  <si>
    <t>贅沢クリーミーショコラ12個入り</t>
  </si>
  <si>
    <t>口どけの良い贅沢なクリーミーショコラです。濃厚なチョコレートが口の中でとろけます。贈り物にも最適で、特別な日のお楽しみにぴったりです。</t>
  </si>
  <si>
    <t>product_image/4800000000039.jpg</t>
  </si>
  <si>
    <t>スマートウォッチ心拍計付き</t>
  </si>
  <si>
    <t>スタイリッシュなデザインで使いやすいスマートウォッチです。心拍計や運動量の計測など、健康管理に役立つ機能が充実しています。スマートフォンとの連携も簡単です。</t>
  </si>
  <si>
    <t>product_image/4800000000040.jpg</t>
  </si>
  <si>
    <t>防水ナイロンバックパック</t>
  </si>
  <si>
    <t>防水性に優れたナイロン素材のバックパックです。多くの収納スペースと快適な装着感で、アウトドアから通勤まで幅広く活躍します。頑丈で長持ちするデザインです。</t>
  </si>
  <si>
    <t>product_image/4800000000041.jpg</t>
  </si>
  <si>
    <t>エイジングケアクリーム</t>
  </si>
  <si>
    <t>エイジングケアに特化したクリームです。肌のハリや弾力をサポートし、年齢による肌の悩みを改善します。高品質な成分を配合し、安心してお使いいただけます。</t>
  </si>
  <si>
    <t>product_image/4800000000042.jpg</t>
  </si>
  <si>
    <t>人気小説「月の光」</t>
  </si>
  <si>
    <t>切なくも美しい恋物語が綴られた人気小説「月の光」です。読み手を魅了するストーリー展開と、深い愛情の表現が心に残ります。感動的な一冊です。</t>
  </si>
  <si>
    <t>product_image/4800000000043.jpg</t>
  </si>
  <si>
    <t>トレイルランニング用ウインドブレーカー</t>
  </si>
  <si>
    <t>トレイルランニングに最適なウインドブレーカーです。風を防ぎながら通気性を保ち、快適な走行が可能です。軽量でコンパクトなので、アウトドアにも便利です。</t>
  </si>
  <si>
    <t>product_image/4800000000044.jpg</t>
  </si>
  <si>
    <t>猫用ネコボール6個セット</t>
  </si>
  <si>
    <t>猫が楽しめるネコボールのセットです。色とりどりのボールが猫の運動量をサポートします。安全な素材で作られており、安心して遊ばせることができます。</t>
  </si>
  <si>
    <t>product_image/4800000000045.jpg</t>
  </si>
  <si>
    <t>バイク用タイヤ空気圧計</t>
  </si>
  <si>
    <t>正確なタイヤ空気圧を測定できる便利な計測器です。持ち運びに便利なコンパクトサイズで、バイクユーザーにとって必須のアイテムです。</t>
  </si>
  <si>
    <t>product_image/4800000000046.jpg</t>
  </si>
  <si>
    <t>北欧テイストのリビングチェア</t>
  </si>
  <si>
    <t>北欧テイストが漂うデザインのリビングチェアです。快適な座り心地で、くつろぎの空間を演出します。高品質な素材を使用しており、長く愛用できる家具です。</t>
  </si>
  <si>
    <t>product_image/4800000000047.jpg</t>
  </si>
  <si>
    <t>子供用木製おもちゃキッチン</t>
  </si>
  <si>
    <t>子供の創造力を育む木製のおもちゃキッチンです。安全性を考慮した設計で、子供が安心して遊べるアイテムです。小さなシェフになりきって楽しく遊べます。</t>
  </si>
  <si>
    <t>product_image/4800000000048.jpg</t>
  </si>
  <si>
    <t>特選抹茶と生クリームのマカロン</t>
  </si>
  <si>
    <t>抹茶と生クリームのハーモニーが楽しめる特選マカロンです。ふわっとした食感と濃厚な味わいが特徴で、お茶請けやプレゼントに最適です。</t>
  </si>
  <si>
    <t>product_image/4800000000049.jpg</t>
  </si>
  <si>
    <t>スマートヘルスウォッチ</t>
  </si>
  <si>
    <t>健康管理に最適なスマートヘルスウォッチです。心拍計や睡眠トラッキングなど、健康データの記録と分析が可能です。スタイリッシュなデザインで日常使いにも便利です。</t>
  </si>
  <si>
    <t>product_image/4800000000050.jpg</t>
  </si>
  <si>
    <t>ハイカロリーなプロテインバー</t>
  </si>
  <si>
    <t>エネルギー補給に最適なハイカロリーなプロテインバーです。栄養豊富な成分がたっぷりで、筋肉の回復と成長をサポートします。トレーニング後の栄養補給におすすめです。</t>
  </si>
  <si>
    <t>product_image/4800000000051.jpg</t>
  </si>
  <si>
    <t>猫用ネコツリー</t>
  </si>
  <si>
    <t>猫が楽しめるネコツリーです。高さのある設計で、猫が安全に遊べる空間を提供します。耐久性のある素材で作られており、長くご利用いただけます。</t>
  </si>
  <si>
    <t>product_image/4800000000052.jpg</t>
  </si>
  <si>
    <t>車用タイヤチェーン</t>
  </si>
  <si>
    <t>雪道や凍結路面での安全運転をサポートする車用タイヤチェーンです。簡単に取り付けられ、強力なグリップ力で安定した走行が可能です。冬季のドライブに必須のアイテムです。</t>
  </si>
  <si>
    <t>product_image/4800000000053.jpg</t>
  </si>
  <si>
    <t>シンプルモダンなベッドフレーム</t>
  </si>
  <si>
    <t>シンプルでモダンなデザインのベッドフレームです。快適な睡眠環境を提供し、リラックスできる寝室を演出します。高品質な素材で作られ、安定した支持力を実現しています。</t>
  </si>
  <si>
    <t>product_image/4800000000054.jpg</t>
  </si>
  <si>
    <t>子供用おままごとキッチンセット</t>
  </si>
  <si>
    <t>子供が楽しめるおままごとキッチンセットです。安全な素材で作られており、子供の創造力を育みます。リアルな設計で、お子様のお料理遊びをサポートします。</t>
  </si>
  <si>
    <t>product_image/4800000000055.jpg</t>
  </si>
  <si>
    <t>上質な抹茶クリームパン</t>
  </si>
  <si>
    <t>上質な抹茶クリームがたっぷり詰まったクリームパンです。ふわっとした食感と濃厚な味わいが特徴で、抹茶好きにはたまらない一品です。お茶の時間にもぴったりです。</t>
  </si>
  <si>
    <t>product_image/4800000000056.jpg</t>
  </si>
  <si>
    <t>スマートウォッチ活動量計付き</t>
  </si>
  <si>
    <t>スタイリッシュで便利なスマートウォッチです。活動量やカロリー消費量を計測し、健康管理をサポートします。多機能で使いやすく、日常生活に欠かせないアイテムです。</t>
  </si>
  <si>
    <t>product_image/4800000000057.jpg</t>
  </si>
  <si>
    <t>デニムジャケットブルー</t>
  </si>
  <si>
    <t>カジュアルなブルーカラーのデニムジャケットです。丈夫で長持ちするデニム素材で、コーディネートのアクセントに最適です。季節を問わず活躍する汎用性の高いアイテムです。</t>
  </si>
  <si>
    <t>product_image/4800000000058.jpg</t>
  </si>
  <si>
    <t>美白成分入り日焼け止めSPF30</t>
  </si>
  <si>
    <t>美白成分が配合された日焼け止めです。SPF30でしっかりと紫外線をカットし、透明感のある肌を保ちます。肌にやさしい成分で作られており、敏感肌の方にも安心です。</t>
  </si>
  <si>
    <t>product_image/4800000000059.jpg</t>
  </si>
  <si>
    <t>ミステリー小説「消えた花嫁」</t>
  </si>
  <si>
    <t>心理戦と鮮やかな筋書きが特徴のミステリー小説「消えた花嫁」です。読者を引き込む緊迫感と、意外な展開が楽しめる一冊です。推理小説ファンにおすすめです。</t>
  </si>
  <si>
    <t>product_image/4800000000060.jpg</t>
  </si>
  <si>
    <t>トレイルランニング用ショートパンツ</t>
  </si>
  <si>
    <t>トレイルランニングに最適なショートパンツです。速乾性のある素材で、快適な走行をサポートします。ストレッチ性もあり、動きやすい設計です。</t>
  </si>
  <si>
    <t>product_image/4800000000061.jpg</t>
  </si>
  <si>
    <t>猫用リボンおもちゃ</t>
  </si>
  <si>
    <t>猫が楽しめるリボン型のおもちゃです。キラキラとしたデザインで、猫の遊ぶ姿を楽しむことができます。安全な素材で作られており、安心して遊ばせることができます。</t>
  </si>
  <si>
    <t>product_image/4800000000062.jpg</t>
  </si>
  <si>
    <t>バイク用エンジンオイル5W-40</t>
  </si>
  <si>
    <t>高性能なバイク用エンジンオイルです。低温から高温まで幅広い温度範囲で安定した性能を発揮し、エンジンの寿命を延ばします。信頼性の高いブランド品です。</t>
  </si>
  <si>
    <t>product_image/4800000000063.jpg</t>
  </si>
  <si>
    <t>北欧テイストのシングルソファ</t>
  </si>
  <si>
    <t>北欧テイストが漂うデザインのシングルソファです。コンパクトながらも快適な座り心地を提供し、リビングや書斎におすすめです。高品質な素材で作られており、長くご愛用いただけます。</t>
  </si>
  <si>
    <t>product_image/4800000000064.jpg</t>
  </si>
  <si>
    <t>子供用木製おままごとレンジ</t>
  </si>
  <si>
    <t>木製のおままごとレンジです。安全性を考慮した設計で、子供が安心して遊べるおもちゃです。リアルな操作感で、お料理ごっこを楽しめます。</t>
  </si>
  <si>
    <t>product_image/4800000000065.jpg</t>
  </si>
  <si>
    <t>濃厚生チョコレート15個入り</t>
  </si>
  <si>
    <t>濃厚な生チョコレートが15個詰まった贅沢なセットです。口どけの良いチョコレートが特徴で、特別な日のお楽しみに最適です。高級感溢れるパッケージで贈り物にも最適です。</t>
  </si>
  <si>
    <t>product_image/4800000000066.jpg</t>
  </si>
  <si>
    <t>スマート体組成計Bluetooth対応</t>
  </si>
  <si>
    <t>体脂肪率や筋肉量などの詳細な健康管理が可能なスマート体組成計です。データはスマートフォンと同期でき、健康管理がより簡単になります。</t>
  </si>
  <si>
    <t>product_image/4800000000067.jpg</t>
  </si>
  <si>
    <t>カジュアルなベージュパンツ</t>
  </si>
  <si>
    <t>カジュアルなベージュカラーのパンツです。シンプルなデザインで、さまざまなスタイルに合わせやすく、季節を問わず活躍します。快適な履き心地で、日常使いに最適です。</t>
  </si>
  <si>
    <t>product_image/4800000000068.jpg</t>
  </si>
  <si>
    <t>UVカットUVクリームSPF50</t>
  </si>
  <si>
    <t>高いUVカット効果と保湿ケアを両立したUVクリームです。SPF50で強力な紫外線対策を提供し、肌をしっかり守ります。さっぱりとした使い心地で、化粧前にもおすすめです。</t>
  </si>
  <si>
    <t>product_image/4800000000069.jpg</t>
  </si>
  <si>
    <t>サスペンション搭載のマウンテンバイク</t>
  </si>
  <si>
    <t>サスペンションが搭載されたマウンテンバイクです。アクティブなライドに対応し、振動を吸収して快適な走行を実現します。多機能で頑丈な設計です。</t>
  </si>
  <si>
    <t>product_image/4800000000070.jpg</t>
  </si>
  <si>
    <t>猫用シルバービーズネックレス</t>
  </si>
  <si>
    <t>猫が楽しめるシルバービーズのネックレスです。キラキラとしたデザインが猫の興味を引き、ストレス発散にも役立ちます。安全な素材で作られており、安心して遊ばせることができます。</t>
  </si>
  <si>
    <t>product_image/4800000000071.jpg</t>
  </si>
  <si>
    <t>バイク用LEDヘッドライト</t>
  </si>
  <si>
    <t>明るくエネルギー効率の高いLEDヘッドライトです。遠くまで明るく照らし、夜間の安全運転をサポートします。耐久性に優れた設計で、長期間安心してお使いいただけます。</t>
  </si>
  <si>
    <t>product_image/4800000000072.jpg</t>
  </si>
  <si>
    <t>モダンで洗練されたデザインのダイニングテーブルです。快適な食事の時間を提供し、家族や友人とのコミュニケーションをサポートします。高品質な素材で作られており、長くご利用いただけます。</t>
  </si>
  <si>
    <t>product_image/4800000000073.jpg</t>
  </si>
  <si>
    <t>子供用おままごとお弁当セット</t>
  </si>
  <si>
    <t>子供が楽しめるおままごとお弁当セットです。安全な素材で作られており、リアルなお弁当遊びが楽しめます。創造力を育むおもちゃで、子供の成長をサポートします。</t>
  </si>
  <si>
    <t>product_image/4800000000074.jpg</t>
  </si>
  <si>
    <t>抹茶とクランベリーの和スイーツ</t>
  </si>
  <si>
    <t>抹茶とクランベリーが絶妙にマッチした和スイーツです。ほろ苦い抹茶と酸味のあるクランベリーが、お茶のお供にぴったりです。季節感溢れる和の味わいをお楽しみください。</t>
  </si>
  <si>
    <t>product_image/4800000000075.jpg</t>
  </si>
  <si>
    <t>スマートウォッチ心拍計モデル</t>
  </si>
  <si>
    <t>心拍計機能が付いたスマートウォッチです。運動量の記録や睡眠分析が可能で、健康管理に役立ちます。シンプルでスタイリッシュなデザインで、日常使いに最適です。</t>
  </si>
  <si>
    <t>product_image/4800000000076.jpg</t>
  </si>
  <si>
    <t>防水ハイキングブーツ</t>
  </si>
  <si>
    <t>防水性に優れたハイキングブーツです。トレッキングや登山に最適な設計で、足元をしっかりと守ります。快適な履き心地で長時間のアウトドア活動も安心です。</t>
  </si>
  <si>
    <t>product_image/4800000000077.jpg</t>
  </si>
  <si>
    <t>猫用ねずみ型おもちゃ</t>
  </si>
  <si>
    <t>ねずみ型の猫用おもちゃです。リアルな動きで猫を楽しませ、遊びの刺激を与えます。安全な素材で作られており、猫のストレス発散にも役立ちます。</t>
  </si>
  <si>
    <t>product_image/4800000000078.jpg</t>
  </si>
  <si>
    <t>バイク用チェーンクリーナー</t>
  </si>
  <si>
    <t>バイクのチェーンクリーニングに必要なアイテムです。効率よく汚れを落とし、チェーンの寿命を延ばします。使いやすいデザインで、メンテナンスが簡単に行えます。</t>
  </si>
  <si>
    <t>product_image/4800000000079.jpg</t>
  </si>
  <si>
    <t>モダンデザインのソファセット</t>
  </si>
  <si>
    <t>モダンでスタイリッシュなデザインのソファセットです。座り心地が良く、リラックスできる空間を演出します。高品質な素材で作られており、長く快適にご利用いただけます。</t>
  </si>
  <si>
    <t>product_image/4800000000080.jpg</t>
  </si>
  <si>
    <t>子供用木製おままごと冷蔵庫</t>
  </si>
  <si>
    <t>木製のおままごと冷蔵庫です。安全性を考慮した設計で、子供が安心して遊べるおもちゃです。リアルな操作感で、お料理ごっこを楽しめます。</t>
  </si>
  <si>
    <t>product_image/4800000000081.jpg</t>
  </si>
  <si>
    <t>上質な抹茶と白玉の和スイーツ</t>
  </si>
  <si>
    <t>上質な抹茶と白玉が絶妙にマッチした和スイーツです。ほろ苦い抹茶ともちもちの白玉が口の中で溶け合い、和の味わいを堪能できます。お茶のお供に最適です。</t>
  </si>
  <si>
    <t>product_image/4800000000082.jpg</t>
  </si>
  <si>
    <t>スマートヘルスウォッチGPS搭載</t>
  </si>
  <si>
    <t>GPS機能が搭載されたスマートヘルスウォッチです。位置情報の取得やルートの記録が可能で、アウトドアスポーツから日常使いまで幅広く活躍します。</t>
  </si>
  <si>
    <t>product_image/4800000000083.jpg</t>
  </si>
  <si>
    <t>カジュアルなグレーパンツ</t>
  </si>
  <si>
    <t>カジュアルなグレーカラーのパンツです。シンプルなデザインで、多彩なトップスと合わせやすく、季節を問わず活躍します。快適な履き心地で、日常使いに最適です。</t>
  </si>
  <si>
    <t>product_image/4800000000084.jpg</t>
  </si>
  <si>
    <t>UVカット日焼け止めジェルSPF30</t>
  </si>
  <si>
    <t>日焼け止めジェルです。SPF30で肌をしっかり守りながら、保湿効果も期待できます。さっぱりとした使い心地で、メイク前にも使いやすいアイテムです。</t>
  </si>
  <si>
    <t>product_image/4800000000085.jpg</t>
  </si>
  <si>
    <t>ロードバイクカーボンフレーム</t>
  </si>
  <si>
    <t>軽量で高剛性のカーボンフレームのロードバイクです。スピードを重視した設計で、レースやロングライドに最適です。性能とスタイルを兼ね備えた一台です。</t>
  </si>
  <si>
    <t>product_image/4800000000086.jpg</t>
  </si>
  <si>
    <t>猫用キャットネックレス</t>
  </si>
  <si>
    <t>猫が楽しめるキャットネックレスです。キラキラとしたデザインで、猫の興味を引きます。安全な素材で作られており、安心して遊ばせることができます。</t>
  </si>
  <si>
    <t>product_image/4800000000087.jpg</t>
  </si>
  <si>
    <t>バイク用メンテナンススタンド</t>
  </si>
  <si>
    <t>バイクのメンテナンスに便利なスタンドです。安定した支持で作業をサポートし、修理や洗浄が簡単に行えます。コンパクトながら頑丈な設計で、持ち運びにも便利です。</t>
  </si>
  <si>
    <t>product_image/4800000000088.jpg</t>
  </si>
  <si>
    <t>モダンデザインのデスクチェア</t>
  </si>
  <si>
    <t>モダンで快適なデザインのデスクチェアです。背もたれの高さや角度が調節可能で、長時間の作業も快適に行えます。高品質な素材で作られており、長くご利用いただけます。</t>
  </si>
  <si>
    <t>product_image/4800000000089.jpg</t>
  </si>
  <si>
    <t>子供用木製おままごと食器セット</t>
  </si>
  <si>
    <t>木製のおままごと食器セットです。安全性を考慮した設計で、子供が安心して遊べるおもちゃです。リアルなデザインで、お料理ごっこを楽しめます。</t>
  </si>
  <si>
    <t>product_image/4800000000090.jpg</t>
  </si>
  <si>
    <t>抹茶と栗の和スイーツセット</t>
  </si>
  <si>
    <t>抹茶と栗を組み合わせた和スイーツセットです。ほろ苦い抹茶と甘みのある栗が絶妙にマッチし、和の風情をお楽しみいただけます。お茶の時間や贈り物に最適です。</t>
  </si>
  <si>
    <t>product_image/4800000000091.jpg</t>
  </si>
  <si>
    <t>スマートウォッチスポーツモデル</t>
  </si>
  <si>
    <t>スポーツ向けに特化したスマートウォッチです。多機能で使いやすく、運動の記録や健康管理をサポートします。タフでスタイリッシュなデザインで、アクティブなライフスタイルに最適です。</t>
  </si>
  <si>
    <t>product_image/4800000000092.jpg</t>
  </si>
  <si>
    <t>カジュアルなワイドシャツ</t>
  </si>
  <si>
    <t>カジュアルなワイドシャツです。リラックスした着心地で、デイリーカジュアルからオフィススタイルまで幅広く活躍します。シンプルで洗練されたデザインで、男女問わず人気のアイテムです。</t>
  </si>
  <si>
    <t>product_image/4800000000093.jpg</t>
  </si>
  <si>
    <t>美白効果が期待できる美容液です。肌のシミやくすみを軽減し、明るい肌をサポートします。保湿力も高く、しっとりとした肌触りを実感できます。敏感肌の方にも安心してお使いいただけます。</t>
  </si>
  <si>
    <t>product_image/4800000000094.jpg</t>
  </si>
  <si>
    <t>ベーシックなボウリングシューズ</t>
  </si>
  <si>
    <t>ベーシックなデザインのボウリングシューズです。快適な履き心地と安定したステップを提供し、ボウリングを楽しむための必須アイテムです。長時間の使用でも疲れにくい設計です。</t>
  </si>
  <si>
    <t>product_image/4800000000095.jpg</t>
  </si>
  <si>
    <t>猫用フェザーウィング</t>
  </si>
  <si>
    <t>猫が楽しめるフェザーウィングのおもちゃです。羽根の動きが猫の興味を引き、遊びの刺激と運動量をサポートします。安全な素材で作られており、安心して遊ばせることができます。</t>
  </si>
  <si>
    <t>product_image/4800000000096.jpg</t>
  </si>
  <si>
    <t>バイク用ブレーキパッド</t>
  </si>
  <si>
    <t>高性能なバイク用ブレーキパッドです。安全性と耐久性に優れ、確実なブレーキング力を提供します。様々な状況で安心して使用できる信頼のアイテムです。</t>
  </si>
  <si>
    <t>product_image/4800000000097.jpg</t>
  </si>
  <si>
    <t>モダンデザインのキッチンテーブル</t>
  </si>
  <si>
    <t>モダンでスタイリッシュなデザインのキッチンテーブルです。シンプルながら機能性を兼ね備え、快適な食事の時間を提供します。高品質な素材で作られており、長くご利用いただけます。</t>
  </si>
  <si>
    <t>product_image/4800000000098.jpg</t>
  </si>
  <si>
    <t>子供用おままごと食材セット</t>
  </si>
  <si>
    <t>子供が楽しめるおままごと食材セットです。安全な素材で作られており、リアルなお料理ごっこが楽しめます。創造力を育むおもちゃで、子供の成長をサポートします。</t>
  </si>
  <si>
    <t>product_image/4800000000099.jpg</t>
  </si>
  <si>
    <t>上質な抹茶ショコラ</t>
  </si>
  <si>
    <t>上質な抹茶とチョコレートが融合した贅沢なショコラです。ほろ苦い抹茶と濃厚なチョコレートが口の中で溶け合い、贅沢な味わいを楽しめます。お茶のお供や贈り物に最適です。</t>
  </si>
  <si>
    <t>product_image/4800000000100.jpg</t>
  </si>
  <si>
    <t>4800000000001</t>
  </si>
  <si>
    <t>4800000000002</t>
  </si>
  <si>
    <t>4800000000003</t>
  </si>
  <si>
    <t>4800000000004</t>
  </si>
  <si>
    <t>4800000000005</t>
  </si>
  <si>
    <t>4800000000006</t>
  </si>
  <si>
    <t>4800000000007</t>
  </si>
  <si>
    <t>4800000000008</t>
  </si>
  <si>
    <t>4800000000009</t>
  </si>
  <si>
    <t>4800000000010</t>
  </si>
  <si>
    <t>4800000000011</t>
  </si>
  <si>
    <t>4800000000012</t>
  </si>
  <si>
    <t>4800000000013</t>
  </si>
  <si>
    <t>4800000000014</t>
  </si>
  <si>
    <t>4800000000015</t>
  </si>
  <si>
    <t>4800000000016</t>
  </si>
  <si>
    <t>4800000000017</t>
  </si>
  <si>
    <t>4800000000018</t>
  </si>
  <si>
    <t>4800000000019</t>
  </si>
  <si>
    <t>4800000000020</t>
  </si>
  <si>
    <t>4800000000021</t>
  </si>
  <si>
    <t>4800000000022</t>
  </si>
  <si>
    <t>4800000000023</t>
  </si>
  <si>
    <t>4800000000024</t>
  </si>
  <si>
    <t>4800000000025</t>
  </si>
  <si>
    <t>4800000000026</t>
  </si>
  <si>
    <t>4800000000027</t>
  </si>
  <si>
    <t>4800000000028</t>
  </si>
  <si>
    <t>4800000000029</t>
  </si>
  <si>
    <t>4800000000030</t>
  </si>
  <si>
    <t>4800000000031</t>
  </si>
  <si>
    <t>4800000000032</t>
  </si>
  <si>
    <t>4800000000033</t>
  </si>
  <si>
    <t>4800000000034</t>
  </si>
  <si>
    <t>4800000000035</t>
  </si>
  <si>
    <t>4800000000036</t>
  </si>
  <si>
    <t>4800000000037</t>
  </si>
  <si>
    <t>4800000000038</t>
  </si>
  <si>
    <t>4800000000039</t>
  </si>
  <si>
    <t>4800000000040</t>
  </si>
  <si>
    <t>4800000000041</t>
  </si>
  <si>
    <t>4800000000042</t>
  </si>
  <si>
    <t>4800000000043</t>
  </si>
  <si>
    <t>4800000000044</t>
  </si>
  <si>
    <t>4800000000045</t>
  </si>
  <si>
    <t>4800000000046</t>
  </si>
  <si>
    <t>4800000000047</t>
  </si>
  <si>
    <t>4800000000048</t>
  </si>
  <si>
    <t>4800000000049</t>
  </si>
  <si>
    <t>4800000000050</t>
  </si>
  <si>
    <t>4800000000052</t>
  </si>
  <si>
    <t>4800000000053</t>
  </si>
  <si>
    <t>4800000000054</t>
  </si>
  <si>
    <t>4800000000055</t>
  </si>
  <si>
    <t>4800000000056</t>
  </si>
  <si>
    <t>4800000000057</t>
  </si>
  <si>
    <t>4800000000058</t>
  </si>
  <si>
    <t>4800000000059</t>
  </si>
  <si>
    <t>4800000000060</t>
  </si>
  <si>
    <t>4800000000061</t>
  </si>
  <si>
    <t>4800000000062</t>
  </si>
  <si>
    <t>4800000000063</t>
  </si>
  <si>
    <t>4800000000064</t>
  </si>
  <si>
    <t>4800000000065</t>
  </si>
  <si>
    <t>4800000000066</t>
  </si>
  <si>
    <t>4800000000067</t>
  </si>
  <si>
    <t>4800000000068</t>
  </si>
  <si>
    <t>4800000000069</t>
  </si>
  <si>
    <t>4800000000070</t>
  </si>
  <si>
    <t>4800000000071</t>
  </si>
  <si>
    <t>4800000000072</t>
  </si>
  <si>
    <t>4800000000073</t>
  </si>
  <si>
    <t>4800000000074</t>
  </si>
  <si>
    <t>4800000000075</t>
  </si>
  <si>
    <t>4800000000076</t>
  </si>
  <si>
    <t>4800000000077</t>
  </si>
  <si>
    <t>4800000000078</t>
  </si>
  <si>
    <t>4800000000079</t>
  </si>
  <si>
    <t>4800000000080</t>
  </si>
  <si>
    <t>4800000000081</t>
  </si>
  <si>
    <t>4800000000082</t>
  </si>
  <si>
    <t>4800000000083</t>
  </si>
  <si>
    <t>4800000000084</t>
  </si>
  <si>
    <t>4800000000085</t>
  </si>
  <si>
    <t>4800000000086</t>
  </si>
  <si>
    <t>4800000000087</t>
  </si>
  <si>
    <t>4800000000088</t>
  </si>
  <si>
    <t>4800000000089</t>
  </si>
  <si>
    <t>4800000000090</t>
  </si>
  <si>
    <t>4800000000091</t>
  </si>
  <si>
    <t>4800000000092</t>
  </si>
  <si>
    <t>4800000000093</t>
  </si>
  <si>
    <t>4800000000094</t>
  </si>
  <si>
    <t>4800000000095</t>
  </si>
  <si>
    <t>4800000000096</t>
  </si>
  <si>
    <t>4800000000097</t>
  </si>
  <si>
    <t>4800000000098</t>
  </si>
  <si>
    <t>4800000000099</t>
  </si>
  <si>
    <t>4800000000100</t>
  </si>
  <si>
    <t>食品</t>
  </si>
  <si>
    <t>家電</t>
  </si>
  <si>
    <t>衣類</t>
  </si>
  <si>
    <t>化粧品</t>
  </si>
  <si>
    <t>書籍</t>
  </si>
  <si>
    <t>スポーツ用品</t>
  </si>
  <si>
    <t>ペット用品</t>
  </si>
  <si>
    <t>車・バイク用品</t>
  </si>
  <si>
    <t>家具</t>
  </si>
  <si>
    <t>子供用品</t>
  </si>
  <si>
    <t>4800000000051</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</si>
</sst>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49" fontId="0" fillId="0" borderId="0" xfId="0" applyNumberFormat="1">
      <alignment vertical="center"/>
    </xf>
    <xf numFmtId="0" fontId="0" fillId="33" borderId="0" xfId="0" applyFill="1">
      <alignment vertical="center"/>
    </xf>
    <xf numFmtId="49" fontId="0" fillId="33" borderId="0" xfId="0" applyNumberFormat="1" applyFill="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7FC1F-515F-4C5E-886A-B591D0DC0BBA}">
  <sheetPr filterMode="1"/>
  <dimension ref="A1:H101"/>
  <sheetViews>
    <sheetView tabSelected="1" workbookViewId="0">
      <selection activeCell="B38" sqref="B38:B102"/>
    </sheetView>
  </sheetViews>
  <sheetFormatPr defaultRowHeight="18" x14ac:dyDescent="0.55000000000000004"/>
  <cols>
    <col min="2" max="2" width="14.5" style="1" bestFit="1" customWidth="1"/>
    <col min="3" max="3" width="26.83203125" customWidth="1"/>
    <col min="4" max="4" width="37.5" customWidth="1"/>
    <col min="5" max="5" width="26.33203125" customWidth="1"/>
  </cols>
  <sheetData>
    <row r="1" spans="1:8" x14ac:dyDescent="0.55000000000000004">
      <c r="A1" t="s">
        <v>0</v>
      </c>
      <c r="B1" s="1" t="s">
        <v>1</v>
      </c>
      <c r="C1" t="s">
        <v>2</v>
      </c>
      <c r="D1" t="s">
        <v>3</v>
      </c>
      <c r="E1" t="s">
        <v>4</v>
      </c>
      <c r="F1" t="s">
        <v>5</v>
      </c>
      <c r="G1" t="s">
        <v>6</v>
      </c>
    </row>
    <row r="2" spans="1:8" hidden="1" x14ac:dyDescent="0.55000000000000004">
      <c r="A2" s="2" t="s">
        <v>7</v>
      </c>
      <c r="B2" s="3" t="s">
        <v>306</v>
      </c>
      <c r="C2" s="2" t="s">
        <v>8</v>
      </c>
      <c r="D2" s="2" t="s">
        <v>9</v>
      </c>
      <c r="E2" s="2" t="s">
        <v>10</v>
      </c>
      <c r="F2" s="2">
        <v>6500</v>
      </c>
      <c r="G2" s="2">
        <v>3</v>
      </c>
      <c r="H2" s="2" t="str">
        <f>VLOOKUP(G2,Sheet1!$B$2:$C$11,2,FALSE)</f>
        <v>衣類</v>
      </c>
    </row>
    <row r="3" spans="1:8" hidden="1" x14ac:dyDescent="0.55000000000000004">
      <c r="A3" s="2" t="s">
        <v>7</v>
      </c>
      <c r="B3" s="3" t="s">
        <v>307</v>
      </c>
      <c r="C3" s="2" t="s">
        <v>11</v>
      </c>
      <c r="D3" s="2" t="s">
        <v>12</v>
      </c>
      <c r="E3" s="2" t="s">
        <v>13</v>
      </c>
      <c r="F3" s="2">
        <v>2800</v>
      </c>
      <c r="G3" s="2">
        <v>4</v>
      </c>
      <c r="H3" s="2" t="str">
        <f>VLOOKUP(G3,Sheet1!$B$2:$C$11,2,FALSE)</f>
        <v>化粧品</v>
      </c>
    </row>
    <row r="4" spans="1:8" hidden="1" x14ac:dyDescent="0.55000000000000004">
      <c r="A4" s="2" t="s">
        <v>7</v>
      </c>
      <c r="B4" s="3" t="s">
        <v>308</v>
      </c>
      <c r="C4" s="2" t="s">
        <v>14</v>
      </c>
      <c r="D4" s="2" t="s">
        <v>15</v>
      </c>
      <c r="E4" s="2" t="s">
        <v>16</v>
      </c>
      <c r="F4" s="2">
        <v>1500</v>
      </c>
      <c r="G4" s="2">
        <v>5</v>
      </c>
      <c r="H4" s="2" t="str">
        <f>VLOOKUP(G4,Sheet1!$B$2:$C$11,2,FALSE)</f>
        <v>書籍</v>
      </c>
    </row>
    <row r="5" spans="1:8" hidden="1" x14ac:dyDescent="0.55000000000000004">
      <c r="A5" s="2" t="s">
        <v>7</v>
      </c>
      <c r="B5" s="3" t="s">
        <v>309</v>
      </c>
      <c r="C5" s="2" t="s">
        <v>17</v>
      </c>
      <c r="D5" s="2" t="s">
        <v>18</v>
      </c>
      <c r="E5" s="2" t="s">
        <v>19</v>
      </c>
      <c r="F5" s="2">
        <v>1200</v>
      </c>
      <c r="G5" s="2">
        <v>6</v>
      </c>
      <c r="H5" s="2" t="str">
        <f>VLOOKUP(G5,Sheet1!$B$2:$C$11,2,FALSE)</f>
        <v>スポーツ用品</v>
      </c>
    </row>
    <row r="6" spans="1:8" hidden="1" x14ac:dyDescent="0.55000000000000004">
      <c r="A6" s="2" t="s">
        <v>7</v>
      </c>
      <c r="B6" s="3" t="s">
        <v>310</v>
      </c>
      <c r="C6" s="2" t="s">
        <v>20</v>
      </c>
      <c r="D6" s="2" t="s">
        <v>21</v>
      </c>
      <c r="E6" s="2" t="s">
        <v>22</v>
      </c>
      <c r="F6" s="2">
        <v>800</v>
      </c>
      <c r="G6" s="2">
        <v>7</v>
      </c>
      <c r="H6" s="2" t="str">
        <f>VLOOKUP(G6,Sheet1!$B$2:$C$11,2,FALSE)</f>
        <v>ペット用品</v>
      </c>
    </row>
    <row r="7" spans="1:8" hidden="1" x14ac:dyDescent="0.55000000000000004">
      <c r="A7" s="2" t="s">
        <v>7</v>
      </c>
      <c r="B7" s="3" t="s">
        <v>311</v>
      </c>
      <c r="C7" s="2" t="s">
        <v>23</v>
      </c>
      <c r="D7" s="2" t="s">
        <v>24</v>
      </c>
      <c r="E7" s="2" t="s">
        <v>25</v>
      </c>
      <c r="F7" s="2">
        <v>3500</v>
      </c>
      <c r="G7" s="2">
        <v>8</v>
      </c>
      <c r="H7" s="2" t="str">
        <f>VLOOKUP(G7,Sheet1!$B$2:$C$11,2,FALSE)</f>
        <v>車・バイク用品</v>
      </c>
    </row>
    <row r="8" spans="1:8" hidden="1" x14ac:dyDescent="0.55000000000000004">
      <c r="A8" s="2" t="s">
        <v>7</v>
      </c>
      <c r="B8" s="3" t="s">
        <v>312</v>
      </c>
      <c r="C8" s="2" t="s">
        <v>26</v>
      </c>
      <c r="D8" s="2" t="s">
        <v>27</v>
      </c>
      <c r="E8" s="2" t="s">
        <v>28</v>
      </c>
      <c r="F8" s="2">
        <v>18000</v>
      </c>
      <c r="G8" s="2">
        <v>9</v>
      </c>
      <c r="H8" s="2" t="str">
        <f>VLOOKUP(G8,Sheet1!$B$2:$C$11,2,FALSE)</f>
        <v>家具</v>
      </c>
    </row>
    <row r="9" spans="1:8" x14ac:dyDescent="0.55000000000000004">
      <c r="A9" s="2" t="s">
        <v>7</v>
      </c>
      <c r="B9" s="3" t="s">
        <v>313</v>
      </c>
      <c r="C9" s="2" t="s">
        <v>29</v>
      </c>
      <c r="D9" s="2" t="s">
        <v>30</v>
      </c>
      <c r="E9" s="2" t="s">
        <v>31</v>
      </c>
      <c r="F9" s="2">
        <v>1500</v>
      </c>
      <c r="G9" s="2">
        <v>10</v>
      </c>
      <c r="H9" s="2" t="str">
        <f>VLOOKUP(G9,Sheet1!$B$2:$C$11,2,FALSE)</f>
        <v>子供用品</v>
      </c>
    </row>
    <row r="10" spans="1:8" hidden="1" x14ac:dyDescent="0.55000000000000004">
      <c r="A10" s="2" t="s">
        <v>7</v>
      </c>
      <c r="B10" s="3" t="s">
        <v>314</v>
      </c>
      <c r="C10" s="2" t="s">
        <v>32</v>
      </c>
      <c r="D10" s="2" t="s">
        <v>33</v>
      </c>
      <c r="E10" s="2" t="s">
        <v>34</v>
      </c>
      <c r="F10" s="2">
        <v>1200</v>
      </c>
      <c r="G10" s="2">
        <v>1</v>
      </c>
      <c r="H10" s="2" t="str">
        <f>VLOOKUP(G10,Sheet1!$B$2:$C$11,2,FALSE)</f>
        <v>食品</v>
      </c>
    </row>
    <row r="11" spans="1:8" hidden="1" x14ac:dyDescent="0.55000000000000004">
      <c r="A11" s="2" t="s">
        <v>7</v>
      </c>
      <c r="B11" s="3" t="s">
        <v>315</v>
      </c>
      <c r="C11" s="2" t="s">
        <v>35</v>
      </c>
      <c r="D11" s="2" t="s">
        <v>36</v>
      </c>
      <c r="E11" s="2" t="s">
        <v>37</v>
      </c>
      <c r="F11" s="2">
        <v>2500</v>
      </c>
      <c r="G11" s="2">
        <v>2</v>
      </c>
      <c r="H11" s="2" t="str">
        <f>VLOOKUP(G11,Sheet1!$B$2:$C$11,2,FALSE)</f>
        <v>家電</v>
      </c>
    </row>
    <row r="12" spans="1:8" hidden="1" x14ac:dyDescent="0.55000000000000004">
      <c r="A12" s="2" t="s">
        <v>7</v>
      </c>
      <c r="B12" s="3" t="s">
        <v>316</v>
      </c>
      <c r="C12" s="2" t="s">
        <v>38</v>
      </c>
      <c r="D12" s="2" t="s">
        <v>39</v>
      </c>
      <c r="E12" s="2" t="s">
        <v>40</v>
      </c>
      <c r="F12" s="2">
        <v>3500</v>
      </c>
      <c r="G12" s="2">
        <v>3</v>
      </c>
      <c r="H12" s="2" t="str">
        <f>VLOOKUP(G12,Sheet1!$B$2:$C$11,2,FALSE)</f>
        <v>衣類</v>
      </c>
    </row>
    <row r="13" spans="1:8" hidden="1" x14ac:dyDescent="0.55000000000000004">
      <c r="A13" s="2" t="s">
        <v>7</v>
      </c>
      <c r="B13" s="3" t="s">
        <v>317</v>
      </c>
      <c r="C13" s="2" t="s">
        <v>41</v>
      </c>
      <c r="D13" s="2" t="s">
        <v>42</v>
      </c>
      <c r="E13" s="2" t="s">
        <v>43</v>
      </c>
      <c r="F13" s="2">
        <v>4800</v>
      </c>
      <c r="G13" s="2">
        <v>4</v>
      </c>
      <c r="H13" s="2" t="str">
        <f>VLOOKUP(G13,Sheet1!$B$2:$C$11,2,FALSE)</f>
        <v>化粧品</v>
      </c>
    </row>
    <row r="14" spans="1:8" hidden="1" x14ac:dyDescent="0.55000000000000004">
      <c r="A14" s="2" t="s">
        <v>7</v>
      </c>
      <c r="B14" s="3" t="s">
        <v>318</v>
      </c>
      <c r="C14" s="2" t="s">
        <v>44</v>
      </c>
      <c r="D14" s="2" t="s">
        <v>45</v>
      </c>
      <c r="E14" s="2" t="s">
        <v>46</v>
      </c>
      <c r="F14" s="2">
        <v>1800</v>
      </c>
      <c r="G14" s="2">
        <v>5</v>
      </c>
      <c r="H14" s="2" t="str">
        <f>VLOOKUP(G14,Sheet1!$B$2:$C$11,2,FALSE)</f>
        <v>書籍</v>
      </c>
    </row>
    <row r="15" spans="1:8" hidden="1" x14ac:dyDescent="0.55000000000000004">
      <c r="A15" s="2" t="s">
        <v>7</v>
      </c>
      <c r="B15" s="3" t="s">
        <v>319</v>
      </c>
      <c r="C15" s="2" t="s">
        <v>47</v>
      </c>
      <c r="D15" s="2" t="s">
        <v>48</v>
      </c>
      <c r="E15" s="2" t="s">
        <v>49</v>
      </c>
      <c r="F15" s="2">
        <v>5800</v>
      </c>
      <c r="G15" s="2">
        <v>6</v>
      </c>
      <c r="H15" s="2" t="str">
        <f>VLOOKUP(G15,Sheet1!$B$2:$C$11,2,FALSE)</f>
        <v>スポーツ用品</v>
      </c>
    </row>
    <row r="16" spans="1:8" hidden="1" x14ac:dyDescent="0.55000000000000004">
      <c r="A16" s="2" t="s">
        <v>7</v>
      </c>
      <c r="B16" s="3" t="s">
        <v>320</v>
      </c>
      <c r="C16" s="2" t="s">
        <v>50</v>
      </c>
      <c r="D16" s="2" t="s">
        <v>51</v>
      </c>
      <c r="E16" s="2" t="s">
        <v>52</v>
      </c>
      <c r="F16" s="2">
        <v>4500</v>
      </c>
      <c r="G16" s="2">
        <v>7</v>
      </c>
      <c r="H16" s="2" t="str">
        <f>VLOOKUP(G16,Sheet1!$B$2:$C$11,2,FALSE)</f>
        <v>ペット用品</v>
      </c>
    </row>
    <row r="17" spans="1:8" hidden="1" x14ac:dyDescent="0.55000000000000004">
      <c r="A17" s="2" t="s">
        <v>7</v>
      </c>
      <c r="B17" s="3" t="s">
        <v>321</v>
      </c>
      <c r="C17" s="2" t="s">
        <v>53</v>
      </c>
      <c r="D17" s="2" t="s">
        <v>54</v>
      </c>
      <c r="E17" s="2" t="s">
        <v>55</v>
      </c>
      <c r="F17" s="2">
        <v>4500</v>
      </c>
      <c r="G17" s="2">
        <v>8</v>
      </c>
      <c r="H17" s="2" t="str">
        <f>VLOOKUP(G17,Sheet1!$B$2:$C$11,2,FALSE)</f>
        <v>車・バイク用品</v>
      </c>
    </row>
    <row r="18" spans="1:8" hidden="1" x14ac:dyDescent="0.55000000000000004">
      <c r="A18" s="2" t="s">
        <v>7</v>
      </c>
      <c r="B18" s="3" t="s">
        <v>322</v>
      </c>
      <c r="C18" s="2" t="s">
        <v>56</v>
      </c>
      <c r="D18" s="2" t="s">
        <v>57</v>
      </c>
      <c r="E18" s="2" t="s">
        <v>58</v>
      </c>
      <c r="F18" s="2">
        <v>25000</v>
      </c>
      <c r="G18" s="2">
        <v>9</v>
      </c>
      <c r="H18" s="2" t="str">
        <f>VLOOKUP(G18,Sheet1!$B$2:$C$11,2,FALSE)</f>
        <v>家具</v>
      </c>
    </row>
    <row r="19" spans="1:8" x14ac:dyDescent="0.55000000000000004">
      <c r="A19" s="2" t="s">
        <v>7</v>
      </c>
      <c r="B19" s="3" t="s">
        <v>323</v>
      </c>
      <c r="C19" s="2" t="s">
        <v>59</v>
      </c>
      <c r="D19" s="2" t="s">
        <v>60</v>
      </c>
      <c r="E19" s="2" t="s">
        <v>61</v>
      </c>
      <c r="F19" s="2">
        <v>3500</v>
      </c>
      <c r="G19" s="2">
        <v>10</v>
      </c>
      <c r="H19" s="2" t="str">
        <f>VLOOKUP(G19,Sheet1!$B$2:$C$11,2,FALSE)</f>
        <v>子供用品</v>
      </c>
    </row>
    <row r="20" spans="1:8" hidden="1" x14ac:dyDescent="0.55000000000000004">
      <c r="A20" s="2" t="s">
        <v>7</v>
      </c>
      <c r="B20" s="3" t="s">
        <v>324</v>
      </c>
      <c r="C20" s="2" t="s">
        <v>62</v>
      </c>
      <c r="D20" s="2" t="s">
        <v>63</v>
      </c>
      <c r="E20" s="2" t="s">
        <v>64</v>
      </c>
      <c r="F20" s="2">
        <v>2800</v>
      </c>
      <c r="G20" s="2">
        <v>1</v>
      </c>
      <c r="H20" s="2" t="str">
        <f>VLOOKUP(G20,Sheet1!$B$2:$C$11,2,FALSE)</f>
        <v>食品</v>
      </c>
    </row>
    <row r="21" spans="1:8" hidden="1" x14ac:dyDescent="0.55000000000000004">
      <c r="A21" s="2" t="s">
        <v>7</v>
      </c>
      <c r="B21" s="3" t="s">
        <v>325</v>
      </c>
      <c r="C21" s="2" t="s">
        <v>65</v>
      </c>
      <c r="D21" s="2" t="s">
        <v>66</v>
      </c>
      <c r="E21" s="2" t="s">
        <v>67</v>
      </c>
      <c r="F21" s="2">
        <v>4500</v>
      </c>
      <c r="G21" s="2">
        <v>2</v>
      </c>
      <c r="H21" s="2" t="str">
        <f>VLOOKUP(G21,Sheet1!$B$2:$C$11,2,FALSE)</f>
        <v>家電</v>
      </c>
    </row>
    <row r="22" spans="1:8" hidden="1" x14ac:dyDescent="0.55000000000000004">
      <c r="A22" s="2" t="s">
        <v>7</v>
      </c>
      <c r="B22" s="3" t="s">
        <v>326</v>
      </c>
      <c r="C22" s="2" t="s">
        <v>68</v>
      </c>
      <c r="D22" s="2" t="s">
        <v>69</v>
      </c>
      <c r="E22" s="2" t="s">
        <v>70</v>
      </c>
      <c r="F22" s="2">
        <v>9800</v>
      </c>
      <c r="G22" s="2">
        <v>3</v>
      </c>
      <c r="H22" s="2" t="str">
        <f>VLOOKUP(G22,Sheet1!$B$2:$C$11,2,FALSE)</f>
        <v>衣類</v>
      </c>
    </row>
    <row r="23" spans="1:8" hidden="1" x14ac:dyDescent="0.55000000000000004">
      <c r="A23" s="2" t="s">
        <v>7</v>
      </c>
      <c r="B23" s="3" t="s">
        <v>327</v>
      </c>
      <c r="C23" s="2" t="s">
        <v>71</v>
      </c>
      <c r="D23" s="2" t="s">
        <v>72</v>
      </c>
      <c r="E23" s="2" t="s">
        <v>73</v>
      </c>
      <c r="F23" s="2">
        <v>3200</v>
      </c>
      <c r="G23" s="2">
        <v>4</v>
      </c>
      <c r="H23" s="2" t="str">
        <f>VLOOKUP(G23,Sheet1!$B$2:$C$11,2,FALSE)</f>
        <v>化粧品</v>
      </c>
    </row>
    <row r="24" spans="1:8" hidden="1" x14ac:dyDescent="0.55000000000000004">
      <c r="A24" s="2" t="s">
        <v>7</v>
      </c>
      <c r="B24" s="3" t="s">
        <v>328</v>
      </c>
      <c r="C24" s="2" t="s">
        <v>74</v>
      </c>
      <c r="D24" s="2" t="s">
        <v>75</v>
      </c>
      <c r="E24" s="2" t="s">
        <v>76</v>
      </c>
      <c r="F24" s="2">
        <v>2500</v>
      </c>
      <c r="G24" s="2">
        <v>5</v>
      </c>
      <c r="H24" s="2" t="str">
        <f>VLOOKUP(G24,Sheet1!$B$2:$C$11,2,FALSE)</f>
        <v>書籍</v>
      </c>
    </row>
    <row r="25" spans="1:8" hidden="1" x14ac:dyDescent="0.55000000000000004">
      <c r="A25" s="2" t="s">
        <v>7</v>
      </c>
      <c r="B25" s="3" t="s">
        <v>329</v>
      </c>
      <c r="C25" s="2" t="s">
        <v>77</v>
      </c>
      <c r="D25" s="2" t="s">
        <v>78</v>
      </c>
      <c r="E25" s="2" t="s">
        <v>79</v>
      </c>
      <c r="F25" s="2">
        <v>5500</v>
      </c>
      <c r="G25" s="2">
        <v>6</v>
      </c>
      <c r="H25" s="2" t="str">
        <f>VLOOKUP(G25,Sheet1!$B$2:$C$11,2,FALSE)</f>
        <v>スポーツ用品</v>
      </c>
    </row>
    <row r="26" spans="1:8" hidden="1" x14ac:dyDescent="0.55000000000000004">
      <c r="A26" s="2" t="s">
        <v>7</v>
      </c>
      <c r="B26" s="3" t="s">
        <v>330</v>
      </c>
      <c r="C26" s="2" t="s">
        <v>80</v>
      </c>
      <c r="D26" s="2" t="s">
        <v>81</v>
      </c>
      <c r="E26" s="2" t="s">
        <v>82</v>
      </c>
      <c r="F26" s="2">
        <v>600</v>
      </c>
      <c r="G26" s="2">
        <v>7</v>
      </c>
      <c r="H26" s="2" t="str">
        <f>VLOOKUP(G26,Sheet1!$B$2:$C$11,2,FALSE)</f>
        <v>ペット用品</v>
      </c>
    </row>
    <row r="27" spans="1:8" hidden="1" x14ac:dyDescent="0.55000000000000004">
      <c r="A27" s="2" t="s">
        <v>7</v>
      </c>
      <c r="B27" s="3" t="s">
        <v>331</v>
      </c>
      <c r="C27" s="2" t="s">
        <v>83</v>
      </c>
      <c r="D27" s="2" t="s">
        <v>84</v>
      </c>
      <c r="E27" s="2" t="s">
        <v>85</v>
      </c>
      <c r="F27" s="2">
        <v>9500</v>
      </c>
      <c r="G27" s="2">
        <v>8</v>
      </c>
      <c r="H27" s="2" t="str">
        <f>VLOOKUP(G27,Sheet1!$B$2:$C$11,2,FALSE)</f>
        <v>車・バイク用品</v>
      </c>
    </row>
    <row r="28" spans="1:8" hidden="1" x14ac:dyDescent="0.55000000000000004">
      <c r="A28" s="2" t="s">
        <v>7</v>
      </c>
      <c r="B28" s="3" t="s">
        <v>332</v>
      </c>
      <c r="C28" s="2" t="s">
        <v>86</v>
      </c>
      <c r="D28" s="2" t="s">
        <v>87</v>
      </c>
      <c r="E28" s="2" t="s">
        <v>88</v>
      </c>
      <c r="F28" s="2">
        <v>22000</v>
      </c>
      <c r="G28" s="2">
        <v>9</v>
      </c>
      <c r="H28" s="2" t="str">
        <f>VLOOKUP(G28,Sheet1!$B$2:$C$11,2,FALSE)</f>
        <v>家具</v>
      </c>
    </row>
    <row r="29" spans="1:8" x14ac:dyDescent="0.55000000000000004">
      <c r="A29" s="2" t="s">
        <v>7</v>
      </c>
      <c r="B29" s="3" t="s">
        <v>333</v>
      </c>
      <c r="C29" s="2" t="s">
        <v>89</v>
      </c>
      <c r="D29" s="2" t="s">
        <v>90</v>
      </c>
      <c r="E29" s="2" t="s">
        <v>91</v>
      </c>
      <c r="F29" s="2">
        <v>2800</v>
      </c>
      <c r="G29" s="2">
        <v>10</v>
      </c>
      <c r="H29" s="2" t="str">
        <f>VLOOKUP(G29,Sheet1!$B$2:$C$11,2,FALSE)</f>
        <v>子供用品</v>
      </c>
    </row>
    <row r="30" spans="1:8" hidden="1" x14ac:dyDescent="0.55000000000000004">
      <c r="A30" s="2" t="s">
        <v>7</v>
      </c>
      <c r="B30" s="3" t="s">
        <v>334</v>
      </c>
      <c r="C30" s="2" t="s">
        <v>92</v>
      </c>
      <c r="D30" s="2" t="s">
        <v>93</v>
      </c>
      <c r="E30" s="2" t="s">
        <v>94</v>
      </c>
      <c r="F30" s="2">
        <v>1500</v>
      </c>
      <c r="G30" s="2">
        <v>1</v>
      </c>
      <c r="H30" s="2" t="str">
        <f>VLOOKUP(G30,Sheet1!$B$2:$C$11,2,FALSE)</f>
        <v>食品</v>
      </c>
    </row>
    <row r="31" spans="1:8" hidden="1" x14ac:dyDescent="0.55000000000000004">
      <c r="A31" s="2" t="s">
        <v>7</v>
      </c>
      <c r="B31" s="3" t="s">
        <v>335</v>
      </c>
      <c r="C31" s="2" t="s">
        <v>95</v>
      </c>
      <c r="D31" s="2" t="s">
        <v>96</v>
      </c>
      <c r="E31" s="2" t="s">
        <v>97</v>
      </c>
      <c r="F31" s="2">
        <v>2800</v>
      </c>
      <c r="G31" s="2">
        <v>2</v>
      </c>
      <c r="H31" s="2" t="str">
        <f>VLOOKUP(G31,Sheet1!$B$2:$C$11,2,FALSE)</f>
        <v>家電</v>
      </c>
    </row>
    <row r="32" spans="1:8" hidden="1" x14ac:dyDescent="0.55000000000000004">
      <c r="A32" s="2" t="s">
        <v>7</v>
      </c>
      <c r="B32" s="3" t="s">
        <v>336</v>
      </c>
      <c r="C32" s="2" t="s">
        <v>98</v>
      </c>
      <c r="D32" s="2" t="s">
        <v>99</v>
      </c>
      <c r="E32" s="2" t="s">
        <v>100</v>
      </c>
      <c r="F32" s="2">
        <v>2500</v>
      </c>
      <c r="G32" s="2">
        <v>3</v>
      </c>
      <c r="H32" s="2" t="str">
        <f>VLOOKUP(G32,Sheet1!$B$2:$C$11,2,FALSE)</f>
        <v>衣類</v>
      </c>
    </row>
    <row r="33" spans="1:8" hidden="1" x14ac:dyDescent="0.55000000000000004">
      <c r="A33" s="2" t="s">
        <v>7</v>
      </c>
      <c r="B33" s="3" t="s">
        <v>337</v>
      </c>
      <c r="C33" s="2" t="s">
        <v>101</v>
      </c>
      <c r="D33" s="2" t="s">
        <v>102</v>
      </c>
      <c r="E33" s="2" t="s">
        <v>103</v>
      </c>
      <c r="F33" s="2">
        <v>3800</v>
      </c>
      <c r="G33" s="2">
        <v>4</v>
      </c>
      <c r="H33" s="2" t="str">
        <f>VLOOKUP(G33,Sheet1!$B$2:$C$11,2,FALSE)</f>
        <v>化粧品</v>
      </c>
    </row>
    <row r="34" spans="1:8" hidden="1" x14ac:dyDescent="0.55000000000000004">
      <c r="A34" s="2" t="s">
        <v>7</v>
      </c>
      <c r="B34" s="3" t="s">
        <v>338</v>
      </c>
      <c r="C34" s="2" t="s">
        <v>104</v>
      </c>
      <c r="D34" s="2" t="s">
        <v>105</v>
      </c>
      <c r="E34" s="2" t="s">
        <v>106</v>
      </c>
      <c r="F34" s="2">
        <v>2200</v>
      </c>
      <c r="G34" s="2">
        <v>5</v>
      </c>
      <c r="H34" s="2" t="str">
        <f>VLOOKUP(G34,Sheet1!$B$2:$C$11,2,FALSE)</f>
        <v>書籍</v>
      </c>
    </row>
    <row r="35" spans="1:8" hidden="1" x14ac:dyDescent="0.55000000000000004">
      <c r="A35" s="2" t="s">
        <v>7</v>
      </c>
      <c r="B35" s="3" t="s">
        <v>339</v>
      </c>
      <c r="C35" s="2" t="s">
        <v>107</v>
      </c>
      <c r="D35" s="2" t="s">
        <v>108</v>
      </c>
      <c r="E35" s="2" t="s">
        <v>109</v>
      </c>
      <c r="F35" s="2">
        <v>6900</v>
      </c>
      <c r="G35" s="2">
        <v>6</v>
      </c>
      <c r="H35" s="2" t="str">
        <f>VLOOKUP(G35,Sheet1!$B$2:$C$11,2,FALSE)</f>
        <v>スポーツ用品</v>
      </c>
    </row>
    <row r="36" spans="1:8" hidden="1" x14ac:dyDescent="0.55000000000000004">
      <c r="A36" t="s">
        <v>7</v>
      </c>
      <c r="B36" s="1" t="s">
        <v>340</v>
      </c>
      <c r="C36" t="s">
        <v>110</v>
      </c>
      <c r="D36" t="s">
        <v>111</v>
      </c>
      <c r="E36" t="s">
        <v>112</v>
      </c>
      <c r="F36">
        <v>500</v>
      </c>
      <c r="G36">
        <v>7</v>
      </c>
      <c r="H36" t="str">
        <f>VLOOKUP(G36,Sheet1!$B$2:$C$11,2,FALSE)</f>
        <v>ペット用品</v>
      </c>
    </row>
    <row r="37" spans="1:8" hidden="1" x14ac:dyDescent="0.55000000000000004">
      <c r="A37" t="s">
        <v>7</v>
      </c>
      <c r="B37" s="1" t="s">
        <v>341</v>
      </c>
      <c r="C37" t="s">
        <v>113</v>
      </c>
      <c r="D37" t="s">
        <v>114</v>
      </c>
      <c r="E37" t="s">
        <v>115</v>
      </c>
      <c r="F37">
        <v>2800</v>
      </c>
      <c r="G37">
        <v>8</v>
      </c>
      <c r="H37" t="str">
        <f>VLOOKUP(G37,Sheet1!$B$2:$C$11,2,FALSE)</f>
        <v>車・バイク用品</v>
      </c>
    </row>
    <row r="38" spans="1:8" hidden="1" x14ac:dyDescent="0.55000000000000004">
      <c r="A38" t="s">
        <v>7</v>
      </c>
      <c r="B38" s="1" t="s">
        <v>342</v>
      </c>
      <c r="C38" t="s">
        <v>116</v>
      </c>
      <c r="D38" t="s">
        <v>117</v>
      </c>
      <c r="E38" t="s">
        <v>118</v>
      </c>
      <c r="F38">
        <v>35000</v>
      </c>
      <c r="G38">
        <v>9</v>
      </c>
      <c r="H38" t="str">
        <f>VLOOKUP(G38,Sheet1!$B$2:$C$11,2,FALSE)</f>
        <v>家具</v>
      </c>
    </row>
    <row r="39" spans="1:8" x14ac:dyDescent="0.55000000000000004">
      <c r="A39" t="s">
        <v>7</v>
      </c>
      <c r="B39" s="1" t="s">
        <v>343</v>
      </c>
      <c r="C39" t="s">
        <v>119</v>
      </c>
      <c r="D39" t="s">
        <v>120</v>
      </c>
      <c r="E39" t="s">
        <v>121</v>
      </c>
      <c r="F39">
        <v>1200</v>
      </c>
      <c r="G39">
        <v>10</v>
      </c>
      <c r="H39" t="str">
        <f>VLOOKUP(G39,Sheet1!$B$2:$C$11,2,FALSE)</f>
        <v>子供用品</v>
      </c>
    </row>
    <row r="40" spans="1:8" hidden="1" x14ac:dyDescent="0.55000000000000004">
      <c r="A40" t="s">
        <v>7</v>
      </c>
      <c r="B40" s="1" t="s">
        <v>344</v>
      </c>
      <c r="C40" t="s">
        <v>122</v>
      </c>
      <c r="D40" t="s">
        <v>123</v>
      </c>
      <c r="E40" t="s">
        <v>124</v>
      </c>
      <c r="F40">
        <v>3000</v>
      </c>
      <c r="G40">
        <v>1</v>
      </c>
      <c r="H40" t="str">
        <f>VLOOKUP(G40,Sheet1!$B$2:$C$11,2,FALSE)</f>
        <v>食品</v>
      </c>
    </row>
    <row r="41" spans="1:8" hidden="1" x14ac:dyDescent="0.55000000000000004">
      <c r="A41" t="s">
        <v>7</v>
      </c>
      <c r="B41" s="1" t="s">
        <v>345</v>
      </c>
      <c r="C41" t="s">
        <v>125</v>
      </c>
      <c r="D41" t="s">
        <v>126</v>
      </c>
      <c r="E41" t="s">
        <v>127</v>
      </c>
      <c r="F41">
        <v>7500</v>
      </c>
      <c r="G41">
        <v>2</v>
      </c>
      <c r="H41" t="str">
        <f>VLOOKUP(G41,Sheet1!$B$2:$C$11,2,FALSE)</f>
        <v>家電</v>
      </c>
    </row>
    <row r="42" spans="1:8" hidden="1" x14ac:dyDescent="0.55000000000000004">
      <c r="A42" t="s">
        <v>7</v>
      </c>
      <c r="B42" s="1" t="s">
        <v>346</v>
      </c>
      <c r="C42" t="s">
        <v>128</v>
      </c>
      <c r="D42" t="s">
        <v>129</v>
      </c>
      <c r="E42" t="s">
        <v>130</v>
      </c>
      <c r="F42">
        <v>4800</v>
      </c>
      <c r="G42">
        <v>3</v>
      </c>
      <c r="H42" t="str">
        <f>VLOOKUP(G42,Sheet1!$B$2:$C$11,2,FALSE)</f>
        <v>衣類</v>
      </c>
    </row>
    <row r="43" spans="1:8" hidden="1" x14ac:dyDescent="0.55000000000000004">
      <c r="A43" t="s">
        <v>7</v>
      </c>
      <c r="B43" s="1" t="s">
        <v>347</v>
      </c>
      <c r="C43" t="s">
        <v>131</v>
      </c>
      <c r="D43" t="s">
        <v>132</v>
      </c>
      <c r="E43" t="s">
        <v>133</v>
      </c>
      <c r="F43">
        <v>5800</v>
      </c>
      <c r="G43">
        <v>4</v>
      </c>
      <c r="H43" t="str">
        <f>VLOOKUP(G43,Sheet1!$B$2:$C$11,2,FALSE)</f>
        <v>化粧品</v>
      </c>
    </row>
    <row r="44" spans="1:8" hidden="1" x14ac:dyDescent="0.55000000000000004">
      <c r="A44" t="s">
        <v>7</v>
      </c>
      <c r="B44" s="1" t="s">
        <v>348</v>
      </c>
      <c r="C44" t="s">
        <v>134</v>
      </c>
      <c r="D44" t="s">
        <v>135</v>
      </c>
      <c r="E44" t="s">
        <v>136</v>
      </c>
      <c r="F44">
        <v>1600</v>
      </c>
      <c r="G44">
        <v>5</v>
      </c>
      <c r="H44" t="str">
        <f>VLOOKUP(G44,Sheet1!$B$2:$C$11,2,FALSE)</f>
        <v>書籍</v>
      </c>
    </row>
    <row r="45" spans="1:8" hidden="1" x14ac:dyDescent="0.55000000000000004">
      <c r="A45" t="s">
        <v>7</v>
      </c>
      <c r="B45" s="1" t="s">
        <v>349</v>
      </c>
      <c r="C45" t="s">
        <v>137</v>
      </c>
      <c r="D45" t="s">
        <v>138</v>
      </c>
      <c r="E45" t="s">
        <v>139</v>
      </c>
      <c r="F45">
        <v>4200</v>
      </c>
      <c r="G45">
        <v>6</v>
      </c>
      <c r="H45" t="str">
        <f>VLOOKUP(G45,Sheet1!$B$2:$C$11,2,FALSE)</f>
        <v>スポーツ用品</v>
      </c>
    </row>
    <row r="46" spans="1:8" hidden="1" x14ac:dyDescent="0.55000000000000004">
      <c r="A46" t="s">
        <v>7</v>
      </c>
      <c r="B46" s="1" t="s">
        <v>350</v>
      </c>
      <c r="C46" t="s">
        <v>140</v>
      </c>
      <c r="D46" t="s">
        <v>141</v>
      </c>
      <c r="E46" t="s">
        <v>142</v>
      </c>
      <c r="F46">
        <v>700</v>
      </c>
      <c r="G46">
        <v>7</v>
      </c>
      <c r="H46" t="str">
        <f>VLOOKUP(G46,Sheet1!$B$2:$C$11,2,FALSE)</f>
        <v>ペット用品</v>
      </c>
    </row>
    <row r="47" spans="1:8" hidden="1" x14ac:dyDescent="0.55000000000000004">
      <c r="A47" t="s">
        <v>7</v>
      </c>
      <c r="B47" s="1" t="s">
        <v>351</v>
      </c>
      <c r="C47" t="s">
        <v>143</v>
      </c>
      <c r="D47" t="s">
        <v>144</v>
      </c>
      <c r="E47" t="s">
        <v>145</v>
      </c>
      <c r="F47">
        <v>1800</v>
      </c>
      <c r="G47">
        <v>8</v>
      </c>
      <c r="H47" t="str">
        <f>VLOOKUP(G47,Sheet1!$B$2:$C$11,2,FALSE)</f>
        <v>車・バイク用品</v>
      </c>
    </row>
    <row r="48" spans="1:8" hidden="1" x14ac:dyDescent="0.55000000000000004">
      <c r="A48" t="s">
        <v>7</v>
      </c>
      <c r="B48" s="1" t="s">
        <v>352</v>
      </c>
      <c r="C48" t="s">
        <v>146</v>
      </c>
      <c r="D48" t="s">
        <v>147</v>
      </c>
      <c r="E48" t="s">
        <v>148</v>
      </c>
      <c r="F48">
        <v>25000</v>
      </c>
      <c r="G48">
        <v>9</v>
      </c>
      <c r="H48" t="str">
        <f>VLOOKUP(G48,Sheet1!$B$2:$C$11,2,FALSE)</f>
        <v>家具</v>
      </c>
    </row>
    <row r="49" spans="1:8" x14ac:dyDescent="0.55000000000000004">
      <c r="A49" t="s">
        <v>7</v>
      </c>
      <c r="B49" s="1" t="s">
        <v>353</v>
      </c>
      <c r="C49" t="s">
        <v>149</v>
      </c>
      <c r="D49" t="s">
        <v>150</v>
      </c>
      <c r="E49" t="s">
        <v>151</v>
      </c>
      <c r="F49">
        <v>4800</v>
      </c>
      <c r="G49">
        <v>10</v>
      </c>
      <c r="H49" t="str">
        <f>VLOOKUP(G49,Sheet1!$B$2:$C$11,2,FALSE)</f>
        <v>子供用品</v>
      </c>
    </row>
    <row r="50" spans="1:8" hidden="1" x14ac:dyDescent="0.55000000000000004">
      <c r="A50" t="s">
        <v>7</v>
      </c>
      <c r="B50" s="1" t="s">
        <v>354</v>
      </c>
      <c r="C50" t="s">
        <v>152</v>
      </c>
      <c r="D50" t="s">
        <v>153</v>
      </c>
      <c r="E50" t="s">
        <v>154</v>
      </c>
      <c r="F50">
        <v>3200</v>
      </c>
      <c r="G50">
        <v>1</v>
      </c>
      <c r="H50" t="str">
        <f>VLOOKUP(G50,Sheet1!$B$2:$C$11,2,FALSE)</f>
        <v>食品</v>
      </c>
    </row>
    <row r="51" spans="1:8" hidden="1" x14ac:dyDescent="0.55000000000000004">
      <c r="A51" t="s">
        <v>7</v>
      </c>
      <c r="B51" s="1" t="s">
        <v>355</v>
      </c>
      <c r="C51" t="s">
        <v>155</v>
      </c>
      <c r="D51" t="s">
        <v>156</v>
      </c>
      <c r="E51" t="s">
        <v>157</v>
      </c>
      <c r="F51">
        <v>6500</v>
      </c>
      <c r="G51">
        <v>2</v>
      </c>
      <c r="H51" t="str">
        <f>VLOOKUP(G51,Sheet1!$B$2:$C$11,2,FALSE)</f>
        <v>家電</v>
      </c>
    </row>
    <row r="52" spans="1:8" hidden="1" x14ac:dyDescent="0.55000000000000004">
      <c r="A52" t="s">
        <v>7</v>
      </c>
      <c r="B52" s="1" t="s">
        <v>415</v>
      </c>
      <c r="C52" t="s">
        <v>158</v>
      </c>
      <c r="D52" t="s">
        <v>159</v>
      </c>
      <c r="E52" t="s">
        <v>160</v>
      </c>
      <c r="F52">
        <v>600</v>
      </c>
      <c r="G52">
        <v>6</v>
      </c>
      <c r="H52" t="str">
        <f>VLOOKUP(G52,Sheet1!$B$2:$C$11,2,FALSE)</f>
        <v>スポーツ用品</v>
      </c>
    </row>
    <row r="53" spans="1:8" hidden="1" x14ac:dyDescent="0.55000000000000004">
      <c r="A53" t="s">
        <v>7</v>
      </c>
      <c r="B53" s="1" t="s">
        <v>356</v>
      </c>
      <c r="C53" t="s">
        <v>161</v>
      </c>
      <c r="D53" t="s">
        <v>162</v>
      </c>
      <c r="E53" t="s">
        <v>163</v>
      </c>
      <c r="F53">
        <v>5500</v>
      </c>
      <c r="G53">
        <v>7</v>
      </c>
      <c r="H53" t="str">
        <f>VLOOKUP(G53,Sheet1!$B$2:$C$11,2,FALSE)</f>
        <v>ペット用品</v>
      </c>
    </row>
    <row r="54" spans="1:8" hidden="1" x14ac:dyDescent="0.55000000000000004">
      <c r="A54" t="s">
        <v>7</v>
      </c>
      <c r="B54" s="1" t="s">
        <v>357</v>
      </c>
      <c r="C54" t="s">
        <v>164</v>
      </c>
      <c r="D54" t="s">
        <v>165</v>
      </c>
      <c r="E54" t="s">
        <v>166</v>
      </c>
      <c r="F54">
        <v>7800</v>
      </c>
      <c r="G54">
        <v>8</v>
      </c>
      <c r="H54" t="str">
        <f>VLOOKUP(G54,Sheet1!$B$2:$C$11,2,FALSE)</f>
        <v>車・バイク用品</v>
      </c>
    </row>
    <row r="55" spans="1:8" hidden="1" x14ac:dyDescent="0.55000000000000004">
      <c r="A55" t="s">
        <v>7</v>
      </c>
      <c r="B55" s="1" t="s">
        <v>358</v>
      </c>
      <c r="C55" t="s">
        <v>167</v>
      </c>
      <c r="D55" t="s">
        <v>168</v>
      </c>
      <c r="E55" t="s">
        <v>169</v>
      </c>
      <c r="F55">
        <v>30000</v>
      </c>
      <c r="G55">
        <v>9</v>
      </c>
      <c r="H55" t="str">
        <f>VLOOKUP(G55,Sheet1!$B$2:$C$11,2,FALSE)</f>
        <v>家具</v>
      </c>
    </row>
    <row r="56" spans="1:8" x14ac:dyDescent="0.55000000000000004">
      <c r="A56" t="s">
        <v>7</v>
      </c>
      <c r="B56" s="1" t="s">
        <v>359</v>
      </c>
      <c r="C56" t="s">
        <v>170</v>
      </c>
      <c r="D56" t="s">
        <v>171</v>
      </c>
      <c r="E56" t="s">
        <v>172</v>
      </c>
      <c r="F56">
        <v>2500</v>
      </c>
      <c r="G56">
        <v>10</v>
      </c>
      <c r="H56" t="str">
        <f>VLOOKUP(G56,Sheet1!$B$2:$C$11,2,FALSE)</f>
        <v>子供用品</v>
      </c>
    </row>
    <row r="57" spans="1:8" hidden="1" x14ac:dyDescent="0.55000000000000004">
      <c r="A57" t="s">
        <v>7</v>
      </c>
      <c r="B57" s="1" t="s">
        <v>360</v>
      </c>
      <c r="C57" t="s">
        <v>173</v>
      </c>
      <c r="D57" t="s">
        <v>174</v>
      </c>
      <c r="E57" t="s">
        <v>175</v>
      </c>
      <c r="F57">
        <v>280</v>
      </c>
      <c r="G57">
        <v>1</v>
      </c>
      <c r="H57" t="str">
        <f>VLOOKUP(G57,Sheet1!$B$2:$C$11,2,FALSE)</f>
        <v>食品</v>
      </c>
    </row>
    <row r="58" spans="1:8" hidden="1" x14ac:dyDescent="0.55000000000000004">
      <c r="A58" t="s">
        <v>7</v>
      </c>
      <c r="B58" s="1" t="s">
        <v>361</v>
      </c>
      <c r="C58" t="s">
        <v>176</v>
      </c>
      <c r="D58" t="s">
        <v>177</v>
      </c>
      <c r="E58" t="s">
        <v>178</v>
      </c>
      <c r="F58">
        <v>6800</v>
      </c>
      <c r="G58">
        <v>2</v>
      </c>
      <c r="H58" t="str">
        <f>VLOOKUP(G58,Sheet1!$B$2:$C$11,2,FALSE)</f>
        <v>家電</v>
      </c>
    </row>
    <row r="59" spans="1:8" hidden="1" x14ac:dyDescent="0.55000000000000004">
      <c r="A59" t="s">
        <v>7</v>
      </c>
      <c r="B59" s="1" t="s">
        <v>362</v>
      </c>
      <c r="C59" t="s">
        <v>179</v>
      </c>
      <c r="D59" t="s">
        <v>180</v>
      </c>
      <c r="E59" t="s">
        <v>181</v>
      </c>
      <c r="F59">
        <v>4500</v>
      </c>
      <c r="G59">
        <v>3</v>
      </c>
      <c r="H59" t="str">
        <f>VLOOKUP(G59,Sheet1!$B$2:$C$11,2,FALSE)</f>
        <v>衣類</v>
      </c>
    </row>
    <row r="60" spans="1:8" hidden="1" x14ac:dyDescent="0.55000000000000004">
      <c r="A60" t="s">
        <v>7</v>
      </c>
      <c r="B60" s="1" t="s">
        <v>363</v>
      </c>
      <c r="C60" t="s">
        <v>182</v>
      </c>
      <c r="D60" t="s">
        <v>183</v>
      </c>
      <c r="E60" t="s">
        <v>184</v>
      </c>
      <c r="F60">
        <v>2500</v>
      </c>
      <c r="G60">
        <v>4</v>
      </c>
      <c r="H60" t="str">
        <f>VLOOKUP(G60,Sheet1!$B$2:$C$11,2,FALSE)</f>
        <v>化粧品</v>
      </c>
    </row>
    <row r="61" spans="1:8" hidden="1" x14ac:dyDescent="0.55000000000000004">
      <c r="A61" t="s">
        <v>7</v>
      </c>
      <c r="B61" s="1" t="s">
        <v>364</v>
      </c>
      <c r="C61" t="s">
        <v>185</v>
      </c>
      <c r="D61" t="s">
        <v>186</v>
      </c>
      <c r="E61" t="s">
        <v>187</v>
      </c>
      <c r="F61">
        <v>1800</v>
      </c>
      <c r="G61">
        <v>5</v>
      </c>
      <c r="H61" t="str">
        <f>VLOOKUP(G61,Sheet1!$B$2:$C$11,2,FALSE)</f>
        <v>書籍</v>
      </c>
    </row>
    <row r="62" spans="1:8" hidden="1" x14ac:dyDescent="0.55000000000000004">
      <c r="A62" t="s">
        <v>7</v>
      </c>
      <c r="B62" s="1" t="s">
        <v>365</v>
      </c>
      <c r="C62" t="s">
        <v>188</v>
      </c>
      <c r="D62" t="s">
        <v>189</v>
      </c>
      <c r="E62" t="s">
        <v>190</v>
      </c>
      <c r="F62">
        <v>4800</v>
      </c>
      <c r="G62">
        <v>6</v>
      </c>
      <c r="H62" t="str">
        <f>VLOOKUP(G62,Sheet1!$B$2:$C$11,2,FALSE)</f>
        <v>スポーツ用品</v>
      </c>
    </row>
    <row r="63" spans="1:8" hidden="1" x14ac:dyDescent="0.55000000000000004">
      <c r="A63" t="s">
        <v>7</v>
      </c>
      <c r="B63" s="1" t="s">
        <v>366</v>
      </c>
      <c r="C63" t="s">
        <v>191</v>
      </c>
      <c r="D63" t="s">
        <v>192</v>
      </c>
      <c r="E63" t="s">
        <v>193</v>
      </c>
      <c r="F63">
        <v>400</v>
      </c>
      <c r="G63">
        <v>7</v>
      </c>
      <c r="H63" t="str">
        <f>VLOOKUP(G63,Sheet1!$B$2:$C$11,2,FALSE)</f>
        <v>ペット用品</v>
      </c>
    </row>
    <row r="64" spans="1:8" hidden="1" x14ac:dyDescent="0.55000000000000004">
      <c r="A64" t="s">
        <v>7</v>
      </c>
      <c r="B64" s="1" t="s">
        <v>367</v>
      </c>
      <c r="C64" t="s">
        <v>194</v>
      </c>
      <c r="D64" t="s">
        <v>195</v>
      </c>
      <c r="E64" t="s">
        <v>196</v>
      </c>
      <c r="F64">
        <v>5500</v>
      </c>
      <c r="G64">
        <v>8</v>
      </c>
      <c r="H64" t="str">
        <f>VLOOKUP(G64,Sheet1!$B$2:$C$11,2,FALSE)</f>
        <v>車・バイク用品</v>
      </c>
    </row>
    <row r="65" spans="1:8" hidden="1" x14ac:dyDescent="0.55000000000000004">
      <c r="A65" t="s">
        <v>7</v>
      </c>
      <c r="B65" s="1" t="s">
        <v>368</v>
      </c>
      <c r="C65" t="s">
        <v>197</v>
      </c>
      <c r="D65" t="s">
        <v>198</v>
      </c>
      <c r="E65" t="s">
        <v>199</v>
      </c>
      <c r="F65">
        <v>18000</v>
      </c>
      <c r="G65">
        <v>9</v>
      </c>
      <c r="H65" t="str">
        <f>VLOOKUP(G65,Sheet1!$B$2:$C$11,2,FALSE)</f>
        <v>家具</v>
      </c>
    </row>
    <row r="66" spans="1:8" x14ac:dyDescent="0.55000000000000004">
      <c r="A66" t="s">
        <v>7</v>
      </c>
      <c r="B66" s="1" t="s">
        <v>369</v>
      </c>
      <c r="C66" t="s">
        <v>200</v>
      </c>
      <c r="D66" t="s">
        <v>201</v>
      </c>
      <c r="E66" t="s">
        <v>202</v>
      </c>
      <c r="F66">
        <v>3200</v>
      </c>
      <c r="G66">
        <v>10</v>
      </c>
      <c r="H66" t="str">
        <f>VLOOKUP(G66,Sheet1!$B$2:$C$11,2,FALSE)</f>
        <v>子供用品</v>
      </c>
    </row>
    <row r="67" spans="1:8" hidden="1" x14ac:dyDescent="0.55000000000000004">
      <c r="A67" t="s">
        <v>7</v>
      </c>
      <c r="B67" s="1" t="s">
        <v>370</v>
      </c>
      <c r="C67" t="s">
        <v>203</v>
      </c>
      <c r="D67" t="s">
        <v>204</v>
      </c>
      <c r="E67" t="s">
        <v>205</v>
      </c>
      <c r="F67">
        <v>3500</v>
      </c>
      <c r="G67">
        <v>1</v>
      </c>
      <c r="H67" t="str">
        <f>VLOOKUP(G67,Sheet1!$B$2:$C$11,2,FALSE)</f>
        <v>食品</v>
      </c>
    </row>
    <row r="68" spans="1:8" hidden="1" x14ac:dyDescent="0.55000000000000004">
      <c r="A68" t="s">
        <v>7</v>
      </c>
      <c r="B68" s="1" t="s">
        <v>371</v>
      </c>
      <c r="C68" t="s">
        <v>206</v>
      </c>
      <c r="D68" t="s">
        <v>207</v>
      </c>
      <c r="E68" t="s">
        <v>208</v>
      </c>
      <c r="F68">
        <v>8500</v>
      </c>
      <c r="G68">
        <v>2</v>
      </c>
      <c r="H68" t="str">
        <f>VLOOKUP(G68,Sheet1!$B$2:$C$11,2,FALSE)</f>
        <v>家電</v>
      </c>
    </row>
    <row r="69" spans="1:8" hidden="1" x14ac:dyDescent="0.55000000000000004">
      <c r="A69" t="s">
        <v>7</v>
      </c>
      <c r="B69" s="1" t="s">
        <v>372</v>
      </c>
      <c r="C69" t="s">
        <v>209</v>
      </c>
      <c r="D69" t="s">
        <v>210</v>
      </c>
      <c r="E69" t="s">
        <v>211</v>
      </c>
      <c r="F69">
        <v>3800</v>
      </c>
      <c r="G69">
        <v>3</v>
      </c>
      <c r="H69" t="str">
        <f>VLOOKUP(G69,Sheet1!$B$2:$C$11,2,FALSE)</f>
        <v>衣類</v>
      </c>
    </row>
    <row r="70" spans="1:8" hidden="1" x14ac:dyDescent="0.55000000000000004">
      <c r="A70" t="s">
        <v>7</v>
      </c>
      <c r="B70" s="1" t="s">
        <v>373</v>
      </c>
      <c r="C70" t="s">
        <v>212</v>
      </c>
      <c r="D70" t="s">
        <v>213</v>
      </c>
      <c r="E70" t="s">
        <v>214</v>
      </c>
      <c r="F70">
        <v>2800</v>
      </c>
      <c r="G70">
        <v>4</v>
      </c>
      <c r="H70" t="str">
        <f>VLOOKUP(G70,Sheet1!$B$2:$C$11,2,FALSE)</f>
        <v>化粧品</v>
      </c>
    </row>
    <row r="71" spans="1:8" hidden="1" x14ac:dyDescent="0.55000000000000004">
      <c r="A71" t="s">
        <v>7</v>
      </c>
      <c r="B71" s="1" t="s">
        <v>374</v>
      </c>
      <c r="C71" t="s">
        <v>215</v>
      </c>
      <c r="D71" t="s">
        <v>216</v>
      </c>
      <c r="E71" t="s">
        <v>217</v>
      </c>
      <c r="F71">
        <v>38000</v>
      </c>
      <c r="G71">
        <v>6</v>
      </c>
      <c r="H71" t="str">
        <f>VLOOKUP(G71,Sheet1!$B$2:$C$11,2,FALSE)</f>
        <v>スポーツ用品</v>
      </c>
    </row>
    <row r="72" spans="1:8" hidden="1" x14ac:dyDescent="0.55000000000000004">
      <c r="A72" t="s">
        <v>7</v>
      </c>
      <c r="B72" s="1" t="s">
        <v>375</v>
      </c>
      <c r="C72" t="s">
        <v>218</v>
      </c>
      <c r="D72" t="s">
        <v>219</v>
      </c>
      <c r="E72" t="s">
        <v>220</v>
      </c>
      <c r="F72">
        <v>700</v>
      </c>
      <c r="G72">
        <v>7</v>
      </c>
      <c r="H72" t="str">
        <f>VLOOKUP(G72,Sheet1!$B$2:$C$11,2,FALSE)</f>
        <v>ペット用品</v>
      </c>
    </row>
    <row r="73" spans="1:8" hidden="1" x14ac:dyDescent="0.55000000000000004">
      <c r="A73" t="s">
        <v>7</v>
      </c>
      <c r="B73" s="1" t="s">
        <v>376</v>
      </c>
      <c r="C73" t="s">
        <v>221</v>
      </c>
      <c r="D73" t="s">
        <v>222</v>
      </c>
      <c r="E73" t="s">
        <v>223</v>
      </c>
      <c r="F73">
        <v>4500</v>
      </c>
      <c r="G73">
        <v>8</v>
      </c>
      <c r="H73" t="str">
        <f>VLOOKUP(G73,Sheet1!$B$2:$C$11,2,FALSE)</f>
        <v>車・バイク用品</v>
      </c>
    </row>
    <row r="74" spans="1:8" hidden="1" x14ac:dyDescent="0.55000000000000004">
      <c r="A74" t="s">
        <v>7</v>
      </c>
      <c r="B74" s="1" t="s">
        <v>377</v>
      </c>
      <c r="C74" t="s">
        <v>56</v>
      </c>
      <c r="D74" t="s">
        <v>224</v>
      </c>
      <c r="E74" t="s">
        <v>225</v>
      </c>
      <c r="F74">
        <v>25000</v>
      </c>
      <c r="G74">
        <v>9</v>
      </c>
      <c r="H74" t="str">
        <f>VLOOKUP(G74,Sheet1!$B$2:$C$11,2,FALSE)</f>
        <v>家具</v>
      </c>
    </row>
    <row r="75" spans="1:8" x14ac:dyDescent="0.55000000000000004">
      <c r="A75" t="s">
        <v>7</v>
      </c>
      <c r="B75" s="1" t="s">
        <v>378</v>
      </c>
      <c r="C75" t="s">
        <v>226</v>
      </c>
      <c r="D75" t="s">
        <v>227</v>
      </c>
      <c r="E75" t="s">
        <v>228</v>
      </c>
      <c r="F75">
        <v>2800</v>
      </c>
      <c r="G75">
        <v>10</v>
      </c>
      <c r="H75" t="str">
        <f>VLOOKUP(G75,Sheet1!$B$2:$C$11,2,FALSE)</f>
        <v>子供用品</v>
      </c>
    </row>
    <row r="76" spans="1:8" hidden="1" x14ac:dyDescent="0.55000000000000004">
      <c r="A76" t="s">
        <v>7</v>
      </c>
      <c r="B76" s="1" t="s">
        <v>379</v>
      </c>
      <c r="C76" t="s">
        <v>229</v>
      </c>
      <c r="D76" t="s">
        <v>230</v>
      </c>
      <c r="E76" t="s">
        <v>231</v>
      </c>
      <c r="F76">
        <v>1800</v>
      </c>
      <c r="G76">
        <v>1</v>
      </c>
      <c r="H76" t="str">
        <f>VLOOKUP(G76,Sheet1!$B$2:$C$11,2,FALSE)</f>
        <v>食品</v>
      </c>
    </row>
    <row r="77" spans="1:8" hidden="1" x14ac:dyDescent="0.55000000000000004">
      <c r="A77" t="s">
        <v>7</v>
      </c>
      <c r="B77" s="1" t="s">
        <v>380</v>
      </c>
      <c r="C77" t="s">
        <v>232</v>
      </c>
      <c r="D77" t="s">
        <v>233</v>
      </c>
      <c r="E77" t="s">
        <v>234</v>
      </c>
      <c r="F77">
        <v>6500</v>
      </c>
      <c r="G77">
        <v>2</v>
      </c>
      <c r="H77" t="str">
        <f>VLOOKUP(G77,Sheet1!$B$2:$C$11,2,FALSE)</f>
        <v>家電</v>
      </c>
    </row>
    <row r="78" spans="1:8" hidden="1" x14ac:dyDescent="0.55000000000000004">
      <c r="A78" t="s">
        <v>7</v>
      </c>
      <c r="B78" s="1" t="s">
        <v>381</v>
      </c>
      <c r="C78" t="s">
        <v>235</v>
      </c>
      <c r="D78" t="s">
        <v>236</v>
      </c>
      <c r="E78" t="s">
        <v>237</v>
      </c>
      <c r="F78">
        <v>9800</v>
      </c>
      <c r="G78">
        <v>6</v>
      </c>
      <c r="H78" t="str">
        <f>VLOOKUP(G78,Sheet1!$B$2:$C$11,2,FALSE)</f>
        <v>スポーツ用品</v>
      </c>
    </row>
    <row r="79" spans="1:8" hidden="1" x14ac:dyDescent="0.55000000000000004">
      <c r="A79" t="s">
        <v>7</v>
      </c>
      <c r="B79" s="1" t="s">
        <v>382</v>
      </c>
      <c r="C79" t="s">
        <v>238</v>
      </c>
      <c r="D79" t="s">
        <v>239</v>
      </c>
      <c r="E79" t="s">
        <v>240</v>
      </c>
      <c r="F79">
        <v>600</v>
      </c>
      <c r="G79">
        <v>7</v>
      </c>
      <c r="H79" t="str">
        <f>VLOOKUP(G79,Sheet1!$B$2:$C$11,2,FALSE)</f>
        <v>ペット用品</v>
      </c>
    </row>
    <row r="80" spans="1:8" hidden="1" x14ac:dyDescent="0.55000000000000004">
      <c r="A80" t="s">
        <v>7</v>
      </c>
      <c r="B80" s="1" t="s">
        <v>383</v>
      </c>
      <c r="C80" t="s">
        <v>241</v>
      </c>
      <c r="D80" t="s">
        <v>242</v>
      </c>
      <c r="E80" t="s">
        <v>243</v>
      </c>
      <c r="F80">
        <v>1500</v>
      </c>
      <c r="G80">
        <v>8</v>
      </c>
      <c r="H80" t="str">
        <f>VLOOKUP(G80,Sheet1!$B$2:$C$11,2,FALSE)</f>
        <v>車・バイク用品</v>
      </c>
    </row>
    <row r="81" spans="1:8" hidden="1" x14ac:dyDescent="0.55000000000000004">
      <c r="A81" t="s">
        <v>7</v>
      </c>
      <c r="B81" s="1" t="s">
        <v>384</v>
      </c>
      <c r="C81" t="s">
        <v>244</v>
      </c>
      <c r="D81" t="s">
        <v>245</v>
      </c>
      <c r="E81" t="s">
        <v>246</v>
      </c>
      <c r="F81">
        <v>45000</v>
      </c>
      <c r="G81">
        <v>9</v>
      </c>
      <c r="H81" t="str">
        <f>VLOOKUP(G81,Sheet1!$B$2:$C$11,2,FALSE)</f>
        <v>家具</v>
      </c>
    </row>
    <row r="82" spans="1:8" x14ac:dyDescent="0.55000000000000004">
      <c r="A82" t="s">
        <v>7</v>
      </c>
      <c r="B82" s="1" t="s">
        <v>385</v>
      </c>
      <c r="C82" t="s">
        <v>247</v>
      </c>
      <c r="D82" t="s">
        <v>248</v>
      </c>
      <c r="E82" t="s">
        <v>249</v>
      </c>
      <c r="F82">
        <v>3800</v>
      </c>
      <c r="G82">
        <v>10</v>
      </c>
      <c r="H82" t="str">
        <f>VLOOKUP(G82,Sheet1!$B$2:$C$11,2,FALSE)</f>
        <v>子供用品</v>
      </c>
    </row>
    <row r="83" spans="1:8" hidden="1" x14ac:dyDescent="0.55000000000000004">
      <c r="A83" t="s">
        <v>7</v>
      </c>
      <c r="B83" s="1" t="s">
        <v>386</v>
      </c>
      <c r="C83" t="s">
        <v>250</v>
      </c>
      <c r="D83" t="s">
        <v>251</v>
      </c>
      <c r="E83" t="s">
        <v>252</v>
      </c>
      <c r="F83">
        <v>2500</v>
      </c>
      <c r="G83">
        <v>1</v>
      </c>
      <c r="H83" t="str">
        <f>VLOOKUP(G83,Sheet1!$B$2:$C$11,2,FALSE)</f>
        <v>食品</v>
      </c>
    </row>
    <row r="84" spans="1:8" hidden="1" x14ac:dyDescent="0.55000000000000004">
      <c r="A84" t="s">
        <v>7</v>
      </c>
      <c r="B84" s="1" t="s">
        <v>387</v>
      </c>
      <c r="C84" t="s">
        <v>253</v>
      </c>
      <c r="D84" t="s">
        <v>254</v>
      </c>
      <c r="E84" t="s">
        <v>255</v>
      </c>
      <c r="F84">
        <v>9800</v>
      </c>
      <c r="G84">
        <v>2</v>
      </c>
      <c r="H84" t="str">
        <f>VLOOKUP(G84,Sheet1!$B$2:$C$11,2,FALSE)</f>
        <v>家電</v>
      </c>
    </row>
    <row r="85" spans="1:8" hidden="1" x14ac:dyDescent="0.55000000000000004">
      <c r="A85" t="s">
        <v>7</v>
      </c>
      <c r="B85" s="1" t="s">
        <v>388</v>
      </c>
      <c r="C85" t="s">
        <v>256</v>
      </c>
      <c r="D85" t="s">
        <v>257</v>
      </c>
      <c r="E85" t="s">
        <v>258</v>
      </c>
      <c r="F85">
        <v>3800</v>
      </c>
      <c r="G85">
        <v>3</v>
      </c>
      <c r="H85" t="str">
        <f>VLOOKUP(G85,Sheet1!$B$2:$C$11,2,FALSE)</f>
        <v>衣類</v>
      </c>
    </row>
    <row r="86" spans="1:8" hidden="1" x14ac:dyDescent="0.55000000000000004">
      <c r="A86" t="s">
        <v>7</v>
      </c>
      <c r="B86" s="1" t="s">
        <v>389</v>
      </c>
      <c r="C86" t="s">
        <v>259</v>
      </c>
      <c r="D86" t="s">
        <v>260</v>
      </c>
      <c r="E86" t="s">
        <v>261</v>
      </c>
      <c r="F86">
        <v>1800</v>
      </c>
      <c r="G86">
        <v>4</v>
      </c>
      <c r="H86" t="str">
        <f>VLOOKUP(G86,Sheet1!$B$2:$C$11,2,FALSE)</f>
        <v>化粧品</v>
      </c>
    </row>
    <row r="87" spans="1:8" hidden="1" x14ac:dyDescent="0.55000000000000004">
      <c r="A87" t="s">
        <v>7</v>
      </c>
      <c r="B87" s="1" t="s">
        <v>390</v>
      </c>
      <c r="C87" t="s">
        <v>262</v>
      </c>
      <c r="D87" t="s">
        <v>263</v>
      </c>
      <c r="E87" t="s">
        <v>264</v>
      </c>
      <c r="F87">
        <v>98000</v>
      </c>
      <c r="G87">
        <v>6</v>
      </c>
      <c r="H87" t="str">
        <f>VLOOKUP(G87,Sheet1!$B$2:$C$11,2,FALSE)</f>
        <v>スポーツ用品</v>
      </c>
    </row>
    <row r="88" spans="1:8" hidden="1" x14ac:dyDescent="0.55000000000000004">
      <c r="A88" t="s">
        <v>7</v>
      </c>
      <c r="B88" s="1" t="s">
        <v>391</v>
      </c>
      <c r="C88" t="s">
        <v>265</v>
      </c>
      <c r="D88" t="s">
        <v>266</v>
      </c>
      <c r="E88" t="s">
        <v>267</v>
      </c>
      <c r="F88">
        <v>600</v>
      </c>
      <c r="G88">
        <v>7</v>
      </c>
      <c r="H88" t="str">
        <f>VLOOKUP(G88,Sheet1!$B$2:$C$11,2,FALSE)</f>
        <v>ペット用品</v>
      </c>
    </row>
    <row r="89" spans="1:8" hidden="1" x14ac:dyDescent="0.55000000000000004">
      <c r="A89" t="s">
        <v>7</v>
      </c>
      <c r="B89" s="1" t="s">
        <v>392</v>
      </c>
      <c r="C89" t="s">
        <v>268</v>
      </c>
      <c r="D89" t="s">
        <v>269</v>
      </c>
      <c r="E89" t="s">
        <v>270</v>
      </c>
      <c r="F89">
        <v>4500</v>
      </c>
      <c r="G89">
        <v>8</v>
      </c>
      <c r="H89" t="str">
        <f>VLOOKUP(G89,Sheet1!$B$2:$C$11,2,FALSE)</f>
        <v>車・バイク用品</v>
      </c>
    </row>
    <row r="90" spans="1:8" hidden="1" x14ac:dyDescent="0.55000000000000004">
      <c r="A90" t="s">
        <v>7</v>
      </c>
      <c r="B90" s="1" t="s">
        <v>393</v>
      </c>
      <c r="C90" t="s">
        <v>271</v>
      </c>
      <c r="D90" t="s">
        <v>272</v>
      </c>
      <c r="E90" t="s">
        <v>273</v>
      </c>
      <c r="F90">
        <v>35000</v>
      </c>
      <c r="G90">
        <v>9</v>
      </c>
      <c r="H90" t="str">
        <f>VLOOKUP(G90,Sheet1!$B$2:$C$11,2,FALSE)</f>
        <v>家具</v>
      </c>
    </row>
    <row r="91" spans="1:8" x14ac:dyDescent="0.55000000000000004">
      <c r="A91" t="s">
        <v>7</v>
      </c>
      <c r="B91" s="1" t="s">
        <v>394</v>
      </c>
      <c r="C91" t="s">
        <v>274</v>
      </c>
      <c r="D91" t="s">
        <v>275</v>
      </c>
      <c r="E91" t="s">
        <v>276</v>
      </c>
      <c r="F91">
        <v>2800</v>
      </c>
      <c r="G91">
        <v>10</v>
      </c>
      <c r="H91" t="str">
        <f>VLOOKUP(G91,Sheet1!$B$2:$C$11,2,FALSE)</f>
        <v>子供用品</v>
      </c>
    </row>
    <row r="92" spans="1:8" hidden="1" x14ac:dyDescent="0.55000000000000004">
      <c r="A92" t="s">
        <v>7</v>
      </c>
      <c r="B92" s="1" t="s">
        <v>395</v>
      </c>
      <c r="C92" t="s">
        <v>277</v>
      </c>
      <c r="D92" t="s">
        <v>278</v>
      </c>
      <c r="E92" t="s">
        <v>279</v>
      </c>
      <c r="F92">
        <v>2200</v>
      </c>
      <c r="G92">
        <v>1</v>
      </c>
      <c r="H92" t="str">
        <f>VLOOKUP(G92,Sheet1!$B$2:$C$11,2,FALSE)</f>
        <v>食品</v>
      </c>
    </row>
    <row r="93" spans="1:8" hidden="1" x14ac:dyDescent="0.55000000000000004">
      <c r="A93" t="s">
        <v>7</v>
      </c>
      <c r="B93" s="1" t="s">
        <v>396</v>
      </c>
      <c r="C93" t="s">
        <v>280</v>
      </c>
      <c r="D93" t="s">
        <v>281</v>
      </c>
      <c r="E93" t="s">
        <v>282</v>
      </c>
      <c r="F93">
        <v>7800</v>
      </c>
      <c r="G93">
        <v>2</v>
      </c>
      <c r="H93" t="str">
        <f>VLOOKUP(G93,Sheet1!$B$2:$C$11,2,FALSE)</f>
        <v>家電</v>
      </c>
    </row>
    <row r="94" spans="1:8" hidden="1" x14ac:dyDescent="0.55000000000000004">
      <c r="A94" t="s">
        <v>7</v>
      </c>
      <c r="B94" s="1" t="s">
        <v>397</v>
      </c>
      <c r="C94" t="s">
        <v>283</v>
      </c>
      <c r="D94" t="s">
        <v>284</v>
      </c>
      <c r="E94" t="s">
        <v>285</v>
      </c>
      <c r="F94">
        <v>4800</v>
      </c>
      <c r="G94">
        <v>3</v>
      </c>
      <c r="H94" t="str">
        <f>VLOOKUP(G94,Sheet1!$B$2:$C$11,2,FALSE)</f>
        <v>衣類</v>
      </c>
    </row>
    <row r="95" spans="1:8" hidden="1" x14ac:dyDescent="0.55000000000000004">
      <c r="A95" t="s">
        <v>7</v>
      </c>
      <c r="B95" s="1" t="s">
        <v>398</v>
      </c>
      <c r="C95" t="s">
        <v>41</v>
      </c>
      <c r="D95" t="s">
        <v>286</v>
      </c>
      <c r="E95" t="s">
        <v>287</v>
      </c>
      <c r="F95">
        <v>5800</v>
      </c>
      <c r="G95">
        <v>4</v>
      </c>
      <c r="H95" t="str">
        <f>VLOOKUP(G95,Sheet1!$B$2:$C$11,2,FALSE)</f>
        <v>化粧品</v>
      </c>
    </row>
    <row r="96" spans="1:8" hidden="1" x14ac:dyDescent="0.55000000000000004">
      <c r="A96" t="s">
        <v>7</v>
      </c>
      <c r="B96" s="1" t="s">
        <v>399</v>
      </c>
      <c r="C96" t="s">
        <v>288</v>
      </c>
      <c r="D96" t="s">
        <v>289</v>
      </c>
      <c r="E96" t="s">
        <v>290</v>
      </c>
      <c r="F96">
        <v>5500</v>
      </c>
      <c r="G96">
        <v>6</v>
      </c>
      <c r="H96" t="str">
        <f>VLOOKUP(G96,Sheet1!$B$2:$C$11,2,FALSE)</f>
        <v>スポーツ用品</v>
      </c>
    </row>
    <row r="97" spans="1:8" hidden="1" x14ac:dyDescent="0.55000000000000004">
      <c r="A97" t="s">
        <v>7</v>
      </c>
      <c r="B97" s="1" t="s">
        <v>400</v>
      </c>
      <c r="C97" t="s">
        <v>291</v>
      </c>
      <c r="D97" t="s">
        <v>292</v>
      </c>
      <c r="E97" t="s">
        <v>293</v>
      </c>
      <c r="F97">
        <v>800</v>
      </c>
      <c r="G97">
        <v>7</v>
      </c>
      <c r="H97" t="str">
        <f>VLOOKUP(G97,Sheet1!$B$2:$C$11,2,FALSE)</f>
        <v>ペット用品</v>
      </c>
    </row>
    <row r="98" spans="1:8" hidden="1" x14ac:dyDescent="0.55000000000000004">
      <c r="A98" t="s">
        <v>7</v>
      </c>
      <c r="B98" s="1" t="s">
        <v>401</v>
      </c>
      <c r="C98" t="s">
        <v>294</v>
      </c>
      <c r="D98" t="s">
        <v>295</v>
      </c>
      <c r="E98" t="s">
        <v>296</v>
      </c>
      <c r="F98">
        <v>2800</v>
      </c>
      <c r="G98">
        <v>8</v>
      </c>
      <c r="H98" t="str">
        <f>VLOOKUP(G98,Sheet1!$B$2:$C$11,2,FALSE)</f>
        <v>車・バイク用品</v>
      </c>
    </row>
    <row r="99" spans="1:8" hidden="1" x14ac:dyDescent="0.55000000000000004">
      <c r="A99" t="s">
        <v>7</v>
      </c>
      <c r="B99" s="1" t="s">
        <v>402</v>
      </c>
      <c r="C99" t="s">
        <v>297</v>
      </c>
      <c r="D99" t="s">
        <v>298</v>
      </c>
      <c r="E99" t="s">
        <v>299</v>
      </c>
      <c r="F99">
        <v>32000</v>
      </c>
      <c r="G99">
        <v>9</v>
      </c>
      <c r="H99" t="str">
        <f>VLOOKUP(G99,Sheet1!$B$2:$C$11,2,FALSE)</f>
        <v>家具</v>
      </c>
    </row>
    <row r="100" spans="1:8" x14ac:dyDescent="0.55000000000000004">
      <c r="A100" t="s">
        <v>7</v>
      </c>
      <c r="B100" s="1" t="s">
        <v>403</v>
      </c>
      <c r="C100" t="s">
        <v>300</v>
      </c>
      <c r="D100" t="s">
        <v>301</v>
      </c>
      <c r="E100" t="s">
        <v>302</v>
      </c>
      <c r="F100">
        <v>2500</v>
      </c>
      <c r="G100">
        <v>10</v>
      </c>
      <c r="H100" t="str">
        <f>VLOOKUP(G100,Sheet1!$B$2:$C$11,2,FALSE)</f>
        <v>子供用品</v>
      </c>
    </row>
    <row r="101" spans="1:8" hidden="1" x14ac:dyDescent="0.55000000000000004">
      <c r="A101" t="s">
        <v>7</v>
      </c>
      <c r="B101" s="1" t="s">
        <v>404</v>
      </c>
      <c r="C101" t="s">
        <v>303</v>
      </c>
      <c r="D101" t="s">
        <v>304</v>
      </c>
      <c r="E101" t="s">
        <v>305</v>
      </c>
      <c r="F101">
        <v>3800</v>
      </c>
      <c r="G101">
        <v>1</v>
      </c>
      <c r="H101" t="str">
        <f>VLOOKUP(G101,Sheet1!$B$2:$C$11,2,FALSE)</f>
        <v>食品</v>
      </c>
    </row>
  </sheetData>
  <autoFilter ref="A1:H101" xr:uid="{3417FC1F-515F-4C5E-886A-B591D0DC0BBA}">
    <filterColumn colId="7">
      <filters>
        <filter val="子供用品"/>
      </filters>
    </filterColumn>
  </autoFilter>
  <phoneticPr fontId="1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48004-CFC8-4A80-97D5-4DFB3755EE04}">
  <dimension ref="B2:C11"/>
  <sheetViews>
    <sheetView workbookViewId="0">
      <selection activeCell="G10" sqref="G10"/>
    </sheetView>
  </sheetViews>
  <sheetFormatPr defaultRowHeight="18" x14ac:dyDescent="0.55000000000000004"/>
  <sheetData>
    <row r="2" spans="2:3" x14ac:dyDescent="0.55000000000000004">
      <c r="B2">
        <v>1</v>
      </c>
      <c r="C2" t="s">
        <v>405</v>
      </c>
    </row>
    <row r="3" spans="2:3" x14ac:dyDescent="0.55000000000000004">
      <c r="B3">
        <v>2</v>
      </c>
      <c r="C3" t="s">
        <v>406</v>
      </c>
    </row>
    <row r="4" spans="2:3" x14ac:dyDescent="0.55000000000000004">
      <c r="B4">
        <v>3</v>
      </c>
      <c r="C4" t="s">
        <v>407</v>
      </c>
    </row>
    <row r="5" spans="2:3" x14ac:dyDescent="0.55000000000000004">
      <c r="B5">
        <v>4</v>
      </c>
      <c r="C5" t="s">
        <v>408</v>
      </c>
    </row>
    <row r="6" spans="2:3" x14ac:dyDescent="0.55000000000000004">
      <c r="B6">
        <v>5</v>
      </c>
      <c r="C6" t="s">
        <v>409</v>
      </c>
    </row>
    <row r="7" spans="2:3" x14ac:dyDescent="0.55000000000000004">
      <c r="B7">
        <v>6</v>
      </c>
      <c r="C7" t="s">
        <v>410</v>
      </c>
    </row>
    <row r="8" spans="2:3" x14ac:dyDescent="0.55000000000000004">
      <c r="B8">
        <v>7</v>
      </c>
      <c r="C8" t="s">
        <v>411</v>
      </c>
    </row>
    <row r="9" spans="2:3" x14ac:dyDescent="0.55000000000000004">
      <c r="B9">
        <v>8</v>
      </c>
      <c r="C9" t="s">
        <v>412</v>
      </c>
    </row>
    <row r="10" spans="2:3" x14ac:dyDescent="0.55000000000000004">
      <c r="B10">
        <v>9</v>
      </c>
      <c r="C10" t="s">
        <v>413</v>
      </c>
    </row>
    <row r="11" spans="2:3" x14ac:dyDescent="0.55000000000000004">
      <c r="B11">
        <v>10</v>
      </c>
      <c r="C11" t="s">
        <v>414</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product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大宮校　藤井海里stu</cp:lastModifiedBy>
  <dcterms:created xsi:type="dcterms:W3CDTF">2024-07-22T03:13:01Z</dcterms:created>
  <dcterms:modified xsi:type="dcterms:W3CDTF">2024-07-24T08:29:40Z</dcterms:modified>
</cp:coreProperties>
</file>